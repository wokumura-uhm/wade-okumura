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askaair-my.sharepoint.com/personal/wade_okumura_alaskaair_com/Documents/Documents/GitHub/wade-okumura/capabilities/marginal-analysis/"/>
    </mc:Choice>
  </mc:AlternateContent>
  <xr:revisionPtr revIDLastSave="1" documentId="8_{1E7D35FC-A469-436C-95BE-8B81D7D3A2CB}" xr6:coauthVersionLast="47" xr6:coauthVersionMax="47" xr10:uidLastSave="{C363FDBC-1CC2-45A5-A075-F5511B85F8E3}"/>
  <bookViews>
    <workbookView xWindow="-120" yWindow="-120" windowWidth="29040" windowHeight="15720" activeTab="2" xr2:uid="{00000000-000D-0000-FFFF-FFFF00000000}"/>
  </bookViews>
  <sheets>
    <sheet name="Inputs" sheetId="1" r:id="rId1"/>
    <sheet name="CostStructure" sheetId="2" r:id="rId2"/>
    <sheet name="MCSchedules" sheetId="3" r:id="rId3"/>
    <sheet name="Optimization" sheetId="4" r:id="rId4"/>
    <sheet name="Checks" sheetId="5" r:id="rId5"/>
  </sheets>
  <definedNames>
    <definedName name="_xlnm._FilterDatabase" localSheetId="0" hidden="1">Inputs!$A$1:$D$27</definedName>
    <definedName name="BED_FIXED_COST">Inputs!$B$21</definedName>
    <definedName name="BLENDED_LABOR_RATE">CostStructure!$B$9</definedName>
    <definedName name="CAR_BEDS">Optimization!$B$3</definedName>
    <definedName name="CAR_DIM_PCT">Inputs!$B$11</definedName>
    <definedName name="CAR_FERT_COST">Inputs!$B$10</definedName>
    <definedName name="CAR_HRS">Inputs!$B$9</definedName>
    <definedName name="CAR_MAX_BEDS">Inputs!$B$7</definedName>
    <definedName name="CAR_PRICE">Inputs!$B$8</definedName>
    <definedName name="FARMER_HOURS">Inputs!$B$18</definedName>
    <definedName name="FARMER_HOURS_USED">CostStructure!$B$3</definedName>
    <definedName name="FARMER_LABOR_COST">CostStructure!$B$6</definedName>
    <definedName name="FARMER_RATE">Inputs!$B$24</definedName>
    <definedName name="FARMER_SALARY">Inputs!$B$23</definedName>
    <definedName name="FARMER_SEASON_HRS">Inputs!$B$22</definedName>
    <definedName name="MAX_TEMP_WORKERS">Inputs!$B$20</definedName>
    <definedName name="MES_BEDS">Optimization!$B$4</definedName>
    <definedName name="MES_DIM_PCT">Inputs!$B$16</definedName>
    <definedName name="MES_FERT_COST">Inputs!$B$15</definedName>
    <definedName name="MES_HRS">Inputs!$B$14</definedName>
    <definedName name="MES_MAX_BEDS">Inputs!$B$12</definedName>
    <definedName name="MES_PRICE">Inputs!$B$13</definedName>
    <definedName name="OPT_CAR_BEDS">Optimization!$B$9</definedName>
    <definedName name="OPT_MES_BEDS">Optimization!$B$10</definedName>
    <definedName name="OPT_TOM_BEDS">Optimization!$B$8</definedName>
    <definedName name="SEASON_WEEKS">Inputs!$B$27</definedName>
    <definedName name="solver_adj" localSheetId="3" hidden="1">Optimization!$B$2:$B$4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Optimization!$B$25</definedName>
    <definedName name="solver_lhs2" localSheetId="3" hidden="1">Optimization!$B$26</definedName>
    <definedName name="solver_lhs3" localSheetId="3" hidden="1">Optimization!$B$27</definedName>
    <definedName name="solver_lhs4" localSheetId="3" hidden="1">Optimization!$B$28</definedName>
    <definedName name="solver_lhs5" localSheetId="3" hidden="1">Optimization!$B$29</definedName>
    <definedName name="solver_lhs6" localSheetId="3" hidden="1">Optimization!$B$2:$B$4</definedName>
    <definedName name="solver_lhs7" localSheetId="3" hidden="1">Optimization!$B$3</definedName>
    <definedName name="solver_lhs8" localSheetId="3" hidden="1">Optimization!$B$4</definedName>
    <definedName name="solver_lhs9" localSheetId="3" hidden="1">Optimization!$B$2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9</definedName>
    <definedName name="solver_nwt" localSheetId="3" hidden="1">1</definedName>
    <definedName name="solver_opt" localSheetId="3" hidden="1">Optimization!$B$14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4</definedName>
    <definedName name="solver_rel7" localSheetId="3" hidden="1">3</definedName>
    <definedName name="solver_rel8" localSheetId="3" hidden="1">3</definedName>
    <definedName name="solver_rel9" localSheetId="3" hidden="1">3</definedName>
    <definedName name="solver_rhs1" localSheetId="3" hidden="1">Optimization!$C$25</definedName>
    <definedName name="solver_rhs2" localSheetId="3" hidden="1">Optimization!$C$26</definedName>
    <definedName name="solver_rhs3" localSheetId="3" hidden="1">Optimization!$C$27</definedName>
    <definedName name="solver_rhs4" localSheetId="3" hidden="1">Optimization!$C$28</definedName>
    <definedName name="solver_rhs5" localSheetId="3" hidden="1">Optimization!$C$29</definedName>
    <definedName name="solver_rhs6" localSheetId="3" hidden="1">"integer"</definedName>
    <definedName name="solver_rhs7" localSheetId="3" hidden="1">0</definedName>
    <definedName name="solver_rhs8" localSheetId="3" hidden="1">0</definedName>
    <definedName name="solver_rhs9" localSheetId="3" hidden="1">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  <definedName name="TEMP_COST_EACH">Inputs!$B$25</definedName>
    <definedName name="TEMP_HOURS_USED">CostStructure!$B$4</definedName>
    <definedName name="TEMP_LABOR_COST">CostStructure!$B$7</definedName>
    <definedName name="TEMP_RATE">Inputs!$B$26</definedName>
    <definedName name="TEMP_WORKER_HOURS">Inputs!$B$19</definedName>
    <definedName name="TEMP_WORKERS_USED">Optimization!$B$18</definedName>
    <definedName name="TEMP_WORKERS_USED_CALC">CostStructure!$B$5</definedName>
    <definedName name="TOM_BEDS">Optimization!$B$2</definedName>
    <definedName name="TOM_DIM_PCT">Inputs!$B$6</definedName>
    <definedName name="TOM_FERT_COST">Inputs!$B$5</definedName>
    <definedName name="TOM_HRS">Inputs!$B$4</definedName>
    <definedName name="TOM_MAX_BEDS">Inputs!$B$2</definedName>
    <definedName name="TOM_PRICE">Inputs!$B$3</definedName>
    <definedName name="TOTAL_BEDS">Inputs!$B$17</definedName>
    <definedName name="TOTAL_FERTILIZER_COST">CostStructure!$B$10</definedName>
    <definedName name="TOTAL_FIXED_COST">Optimization!$B$13</definedName>
    <definedName name="TOTAL_LABOR_AVAILABLE">Optimization!$B$16</definedName>
    <definedName name="TOTAL_LABOR_COST">CostStructure!$B$8</definedName>
    <definedName name="TOTAL_LABOR_HRS">CostStructure!$B$2</definedName>
    <definedName name="TOTAL_LABOR_USED">Optimization!$B$15</definedName>
    <definedName name="TOTAL_PROFIT">Optimization!$B$14</definedName>
    <definedName name="TOTAL_REVENUE">Optimization!$B$11</definedName>
    <definedName name="TOTAL_VARIABLE_COST">Optimization!$B$12</definedName>
    <definedName name="UNUSED_BEDS">Optimization!$B$19</definedName>
    <definedName name="UNUSED_LABOR_HOURS">Optimization!$B$17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4" l="1"/>
  <c r="C3" i="5" a="1"/>
  <c r="C3" i="5" s="1"/>
  <c r="D3" i="5" s="1"/>
  <c r="C4" i="5" a="1"/>
  <c r="C4" i="5" s="1"/>
  <c r="D4" i="5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G81" i="3"/>
  <c r="D81" i="3"/>
  <c r="B81" i="3"/>
  <c r="C81" i="3" s="1"/>
  <c r="E81" i="3" s="1"/>
  <c r="G80" i="3"/>
  <c r="D80" i="3"/>
  <c r="B80" i="3"/>
  <c r="C80" i="3" s="1"/>
  <c r="E80" i="3" s="1"/>
  <c r="G79" i="3"/>
  <c r="D79" i="3"/>
  <c r="B79" i="3"/>
  <c r="C79" i="3" s="1"/>
  <c r="E79" i="3" s="1"/>
  <c r="G78" i="3"/>
  <c r="D78" i="3"/>
  <c r="B78" i="3"/>
  <c r="C78" i="3" s="1"/>
  <c r="E78" i="3" s="1"/>
  <c r="G77" i="3"/>
  <c r="D77" i="3"/>
  <c r="B77" i="3"/>
  <c r="C77" i="3" s="1"/>
  <c r="E77" i="3" s="1"/>
  <c r="G76" i="3"/>
  <c r="D76" i="3"/>
  <c r="B76" i="3"/>
  <c r="C76" i="3" s="1"/>
  <c r="E76" i="3" s="1"/>
  <c r="G75" i="3"/>
  <c r="D75" i="3"/>
  <c r="B75" i="3"/>
  <c r="C75" i="3" s="1"/>
  <c r="E75" i="3" s="1"/>
  <c r="G74" i="3"/>
  <c r="D74" i="3"/>
  <c r="B74" i="3"/>
  <c r="C74" i="3" s="1"/>
  <c r="E74" i="3" s="1"/>
  <c r="G73" i="3"/>
  <c r="D73" i="3"/>
  <c r="B73" i="3"/>
  <c r="C73" i="3" s="1"/>
  <c r="E73" i="3" s="1"/>
  <c r="G72" i="3"/>
  <c r="D72" i="3"/>
  <c r="B72" i="3"/>
  <c r="C72" i="3" s="1"/>
  <c r="E72" i="3" s="1"/>
  <c r="G71" i="3"/>
  <c r="D71" i="3"/>
  <c r="B71" i="3"/>
  <c r="C71" i="3" s="1"/>
  <c r="E71" i="3" s="1"/>
  <c r="G70" i="3"/>
  <c r="D70" i="3"/>
  <c r="B70" i="3"/>
  <c r="C70" i="3" s="1"/>
  <c r="E70" i="3" s="1"/>
  <c r="G69" i="3"/>
  <c r="D69" i="3"/>
  <c r="B69" i="3"/>
  <c r="C69" i="3" s="1"/>
  <c r="E69" i="3" s="1"/>
  <c r="G68" i="3"/>
  <c r="D68" i="3"/>
  <c r="B68" i="3"/>
  <c r="C68" i="3" s="1"/>
  <c r="E68" i="3" s="1"/>
  <c r="G67" i="3"/>
  <c r="D67" i="3"/>
  <c r="B67" i="3"/>
  <c r="C67" i="3" s="1"/>
  <c r="E67" i="3" s="1"/>
  <c r="G66" i="3"/>
  <c r="D66" i="3"/>
  <c r="B66" i="3"/>
  <c r="C66" i="3" s="1"/>
  <c r="E66" i="3" s="1"/>
  <c r="G65" i="3"/>
  <c r="D65" i="3"/>
  <c r="B65" i="3"/>
  <c r="C65" i="3" s="1"/>
  <c r="E65" i="3" s="1"/>
  <c r="G64" i="3"/>
  <c r="D64" i="3"/>
  <c r="B64" i="3"/>
  <c r="C64" i="3" s="1"/>
  <c r="E64" i="3" s="1"/>
  <c r="G63" i="3"/>
  <c r="D63" i="3"/>
  <c r="B63" i="3"/>
  <c r="C63" i="3" s="1"/>
  <c r="E63" i="3" s="1"/>
  <c r="G62" i="3"/>
  <c r="D62" i="3"/>
  <c r="B62" i="3"/>
  <c r="C62" i="3" s="1"/>
  <c r="E62" i="3" s="1"/>
  <c r="G61" i="3"/>
  <c r="D61" i="3"/>
  <c r="B61" i="3"/>
  <c r="C61" i="3" s="1"/>
  <c r="E61" i="3" s="1"/>
  <c r="G60" i="3"/>
  <c r="D60" i="3"/>
  <c r="B60" i="3"/>
  <c r="C60" i="3" s="1"/>
  <c r="E60" i="3" s="1"/>
  <c r="G59" i="3"/>
  <c r="D59" i="3"/>
  <c r="B59" i="3"/>
  <c r="C59" i="3" s="1"/>
  <c r="E59" i="3" s="1"/>
  <c r="G58" i="3"/>
  <c r="D58" i="3"/>
  <c r="B58" i="3"/>
  <c r="C58" i="3" s="1"/>
  <c r="E58" i="3" s="1"/>
  <c r="G57" i="3"/>
  <c r="D57" i="3"/>
  <c r="B57" i="3"/>
  <c r="C57" i="3" s="1"/>
  <c r="E57" i="3" s="1"/>
  <c r="G56" i="3"/>
  <c r="D56" i="3"/>
  <c r="B56" i="3"/>
  <c r="C56" i="3" s="1"/>
  <c r="E56" i="3" s="1"/>
  <c r="G55" i="3"/>
  <c r="D55" i="3"/>
  <c r="B55" i="3"/>
  <c r="C55" i="3" s="1"/>
  <c r="E55" i="3" s="1"/>
  <c r="G54" i="3"/>
  <c r="D54" i="3"/>
  <c r="B54" i="3"/>
  <c r="C54" i="3" s="1"/>
  <c r="E54" i="3" s="1"/>
  <c r="G53" i="3"/>
  <c r="D53" i="3"/>
  <c r="B53" i="3"/>
  <c r="C53" i="3" s="1"/>
  <c r="E53" i="3" s="1"/>
  <c r="G52" i="3"/>
  <c r="D52" i="3"/>
  <c r="B52" i="3"/>
  <c r="C52" i="3" s="1"/>
  <c r="E52" i="3" s="1"/>
  <c r="G51" i="3"/>
  <c r="D51" i="3"/>
  <c r="B51" i="3"/>
  <c r="C51" i="3" s="1"/>
  <c r="E51" i="3" s="1"/>
  <c r="G47" i="3"/>
  <c r="D47" i="3"/>
  <c r="B47" i="3"/>
  <c r="C47" i="3" s="1"/>
  <c r="E47" i="3" s="1"/>
  <c r="G46" i="3"/>
  <c r="D46" i="3"/>
  <c r="B46" i="3"/>
  <c r="C46" i="3" s="1"/>
  <c r="E46" i="3" s="1"/>
  <c r="G45" i="3"/>
  <c r="D45" i="3"/>
  <c r="B45" i="3"/>
  <c r="C45" i="3" s="1"/>
  <c r="E45" i="3" s="1"/>
  <c r="G44" i="3"/>
  <c r="D44" i="3"/>
  <c r="B44" i="3"/>
  <c r="C44" i="3" s="1"/>
  <c r="E44" i="3" s="1"/>
  <c r="G43" i="3"/>
  <c r="D43" i="3"/>
  <c r="B43" i="3"/>
  <c r="C43" i="3" s="1"/>
  <c r="E43" i="3" s="1"/>
  <c r="G42" i="3"/>
  <c r="D42" i="3"/>
  <c r="B42" i="3"/>
  <c r="C42" i="3" s="1"/>
  <c r="E42" i="3" s="1"/>
  <c r="G41" i="3"/>
  <c r="D41" i="3"/>
  <c r="B41" i="3"/>
  <c r="C41" i="3" s="1"/>
  <c r="E41" i="3" s="1"/>
  <c r="G40" i="3"/>
  <c r="D40" i="3"/>
  <c r="B40" i="3"/>
  <c r="C40" i="3" s="1"/>
  <c r="E40" i="3" s="1"/>
  <c r="G39" i="3"/>
  <c r="D39" i="3"/>
  <c r="B39" i="3"/>
  <c r="C39" i="3" s="1"/>
  <c r="E39" i="3" s="1"/>
  <c r="G38" i="3"/>
  <c r="D38" i="3"/>
  <c r="B38" i="3"/>
  <c r="C38" i="3" s="1"/>
  <c r="E38" i="3" s="1"/>
  <c r="G37" i="3"/>
  <c r="D37" i="3"/>
  <c r="B37" i="3"/>
  <c r="C37" i="3" s="1"/>
  <c r="E37" i="3" s="1"/>
  <c r="G36" i="3"/>
  <c r="D36" i="3"/>
  <c r="B36" i="3"/>
  <c r="C36" i="3" s="1"/>
  <c r="E36" i="3" s="1"/>
  <c r="G35" i="3"/>
  <c r="D35" i="3"/>
  <c r="B35" i="3"/>
  <c r="C35" i="3" s="1"/>
  <c r="E35" i="3" s="1"/>
  <c r="G34" i="3"/>
  <c r="D34" i="3"/>
  <c r="B34" i="3"/>
  <c r="C34" i="3" s="1"/>
  <c r="E34" i="3" s="1"/>
  <c r="G33" i="3"/>
  <c r="D33" i="3"/>
  <c r="B33" i="3"/>
  <c r="C33" i="3" s="1"/>
  <c r="E33" i="3" s="1"/>
  <c r="G32" i="3"/>
  <c r="D32" i="3"/>
  <c r="B32" i="3"/>
  <c r="C32" i="3" s="1"/>
  <c r="E32" i="3" s="1"/>
  <c r="G31" i="3"/>
  <c r="D31" i="3"/>
  <c r="B31" i="3"/>
  <c r="C31" i="3" s="1"/>
  <c r="E31" i="3" s="1"/>
  <c r="G30" i="3"/>
  <c r="D30" i="3"/>
  <c r="B30" i="3"/>
  <c r="C30" i="3" s="1"/>
  <c r="E30" i="3" s="1"/>
  <c r="G29" i="3"/>
  <c r="D29" i="3"/>
  <c r="B29" i="3"/>
  <c r="C29" i="3" s="1"/>
  <c r="E29" i="3" s="1"/>
  <c r="G28" i="3"/>
  <c r="D28" i="3"/>
  <c r="B28" i="3"/>
  <c r="C28" i="3" s="1"/>
  <c r="E28" i="3" s="1"/>
  <c r="G27" i="3"/>
  <c r="D27" i="3"/>
  <c r="B27" i="3"/>
  <c r="C27" i="3" s="1"/>
  <c r="E27" i="3" s="1"/>
  <c r="G23" i="3"/>
  <c r="D23" i="3"/>
  <c r="B23" i="3"/>
  <c r="C23" i="3" s="1"/>
  <c r="E23" i="3" s="1"/>
  <c r="G22" i="3"/>
  <c r="D22" i="3"/>
  <c r="B22" i="3"/>
  <c r="C22" i="3" s="1"/>
  <c r="E22" i="3" s="1"/>
  <c r="G21" i="3"/>
  <c r="D21" i="3"/>
  <c r="B21" i="3"/>
  <c r="C21" i="3" s="1"/>
  <c r="E21" i="3" s="1"/>
  <c r="G20" i="3"/>
  <c r="D20" i="3"/>
  <c r="B20" i="3"/>
  <c r="C20" i="3" s="1"/>
  <c r="E20" i="3" s="1"/>
  <c r="G19" i="3"/>
  <c r="D19" i="3"/>
  <c r="B19" i="3"/>
  <c r="C19" i="3" s="1"/>
  <c r="E19" i="3" s="1"/>
  <c r="G18" i="3"/>
  <c r="D18" i="3"/>
  <c r="B18" i="3"/>
  <c r="C18" i="3" s="1"/>
  <c r="E18" i="3" s="1"/>
  <c r="G17" i="3"/>
  <c r="D17" i="3"/>
  <c r="B17" i="3"/>
  <c r="C17" i="3" s="1"/>
  <c r="E17" i="3" s="1"/>
  <c r="G16" i="3"/>
  <c r="D16" i="3"/>
  <c r="B16" i="3"/>
  <c r="C16" i="3" s="1"/>
  <c r="E16" i="3" s="1"/>
  <c r="G15" i="3"/>
  <c r="D15" i="3"/>
  <c r="B15" i="3"/>
  <c r="C15" i="3" s="1"/>
  <c r="E15" i="3" s="1"/>
  <c r="G14" i="3"/>
  <c r="D14" i="3"/>
  <c r="B14" i="3"/>
  <c r="C14" i="3" s="1"/>
  <c r="E14" i="3" s="1"/>
  <c r="G13" i="3"/>
  <c r="D13" i="3"/>
  <c r="B13" i="3"/>
  <c r="C13" i="3" s="1"/>
  <c r="E13" i="3" s="1"/>
  <c r="G12" i="3"/>
  <c r="D12" i="3"/>
  <c r="B12" i="3"/>
  <c r="C12" i="3" s="1"/>
  <c r="E12" i="3" s="1"/>
  <c r="G11" i="3"/>
  <c r="D11" i="3"/>
  <c r="B11" i="3"/>
  <c r="C11" i="3" s="1"/>
  <c r="E11" i="3" s="1"/>
  <c r="G10" i="3"/>
  <c r="D10" i="3"/>
  <c r="B10" i="3"/>
  <c r="C10" i="3" s="1"/>
  <c r="E10" i="3" s="1"/>
  <c r="G9" i="3"/>
  <c r="D9" i="3"/>
  <c r="B9" i="3"/>
  <c r="C9" i="3" s="1"/>
  <c r="E9" i="3" s="1"/>
  <c r="G8" i="3"/>
  <c r="D8" i="3"/>
  <c r="B8" i="3"/>
  <c r="C8" i="3" s="1"/>
  <c r="E8" i="3" s="1"/>
  <c r="G7" i="3"/>
  <c r="D7" i="3"/>
  <c r="B7" i="3"/>
  <c r="C7" i="3" s="1"/>
  <c r="E7" i="3" s="1"/>
  <c r="G6" i="3"/>
  <c r="D6" i="3"/>
  <c r="B6" i="3"/>
  <c r="C6" i="3" s="1"/>
  <c r="E6" i="3" s="1"/>
  <c r="G5" i="3"/>
  <c r="D5" i="3"/>
  <c r="B5" i="3"/>
  <c r="C5" i="3" s="1"/>
  <c r="E5" i="3" s="1"/>
  <c r="G4" i="3"/>
  <c r="D4" i="3"/>
  <c r="B4" i="3"/>
  <c r="G3" i="3"/>
  <c r="D3" i="3"/>
  <c r="B3" i="3"/>
  <c r="C3" i="3" s="1"/>
  <c r="E3" i="3" s="1"/>
  <c r="B11" i="2"/>
  <c r="B10" i="2"/>
  <c r="B2" i="2"/>
  <c r="B15" i="4" s="1"/>
  <c r="C35" i="4"/>
  <c r="B35" i="4"/>
  <c r="D35" i="4" s="1"/>
  <c r="E35" i="4" s="1"/>
  <c r="C34" i="4"/>
  <c r="B34" i="4"/>
  <c r="D34" i="4" s="1"/>
  <c r="E34" i="4" s="1"/>
  <c r="C33" i="4"/>
  <c r="B33" i="4"/>
  <c r="D33" i="4" s="1"/>
  <c r="E33" i="4" s="1"/>
  <c r="C32" i="4"/>
  <c r="B32" i="4"/>
  <c r="D32" i="4" s="1"/>
  <c r="E32" i="4" s="1"/>
  <c r="C31" i="4"/>
  <c r="B31" i="4"/>
  <c r="D31" i="4" s="1"/>
  <c r="E31" i="4" s="1"/>
  <c r="C30" i="4"/>
  <c r="B30" i="4"/>
  <c r="D30" i="4" s="1"/>
  <c r="E30" i="4" s="1"/>
  <c r="C29" i="4"/>
  <c r="C28" i="4"/>
  <c r="B28" i="4"/>
  <c r="C27" i="4"/>
  <c r="B27" i="4"/>
  <c r="C26" i="4"/>
  <c r="B26" i="4"/>
  <c r="C25" i="4"/>
  <c r="B19" i="4"/>
  <c r="B16" i="4"/>
  <c r="B13" i="4"/>
  <c r="B11" i="4"/>
  <c r="B10" i="4"/>
  <c r="C14" i="5" s="1"/>
  <c r="D14" i="5" s="1"/>
  <c r="B9" i="4"/>
  <c r="C13" i="5" s="1"/>
  <c r="D13" i="5" s="1"/>
  <c r="B8" i="4"/>
  <c r="C12" i="5" s="1"/>
  <c r="D12" i="5" s="1"/>
  <c r="B17" i="4" l="1"/>
  <c r="D25" i="4"/>
  <c r="E25" i="4" s="1"/>
  <c r="D26" i="4"/>
  <c r="E26" i="4" s="1"/>
  <c r="D27" i="4"/>
  <c r="E27" i="4" s="1"/>
  <c r="D28" i="4"/>
  <c r="E28" i="4" s="1"/>
  <c r="B4" i="2"/>
  <c r="B3" i="2"/>
  <c r="B6" i="2" s="1"/>
  <c r="I3" i="3"/>
  <c r="C16" i="5"/>
  <c r="D16" i="5" s="1"/>
  <c r="C4" i="3"/>
  <c r="E4" i="3" s="1"/>
  <c r="F4" i="3" s="1"/>
  <c r="I4" i="3"/>
  <c r="H4" i="3"/>
  <c r="F5" i="3"/>
  <c r="I5" i="3"/>
  <c r="H5" i="3"/>
  <c r="F6" i="3"/>
  <c r="I6" i="3"/>
  <c r="H6" i="3"/>
  <c r="F7" i="3"/>
  <c r="I7" i="3"/>
  <c r="H7" i="3"/>
  <c r="F8" i="3"/>
  <c r="I8" i="3"/>
  <c r="H8" i="3"/>
  <c r="F9" i="3"/>
  <c r="I9" i="3"/>
  <c r="H9" i="3"/>
  <c r="F10" i="3"/>
  <c r="I10" i="3"/>
  <c r="H10" i="3"/>
  <c r="F11" i="3"/>
  <c r="I11" i="3"/>
  <c r="H11" i="3"/>
  <c r="F12" i="3"/>
  <c r="I12" i="3"/>
  <c r="H12" i="3"/>
  <c r="F13" i="3"/>
  <c r="I13" i="3"/>
  <c r="H13" i="3"/>
  <c r="F14" i="3"/>
  <c r="I14" i="3"/>
  <c r="H14" i="3"/>
  <c r="F15" i="3"/>
  <c r="I15" i="3"/>
  <c r="H15" i="3"/>
  <c r="F16" i="3"/>
  <c r="I16" i="3"/>
  <c r="H16" i="3"/>
  <c r="F17" i="3"/>
  <c r="I17" i="3"/>
  <c r="H17" i="3"/>
  <c r="F18" i="3"/>
  <c r="I18" i="3"/>
  <c r="H18" i="3"/>
  <c r="F19" i="3"/>
  <c r="I19" i="3"/>
  <c r="H19" i="3"/>
  <c r="F20" i="3"/>
  <c r="I20" i="3"/>
  <c r="H20" i="3"/>
  <c r="F21" i="3"/>
  <c r="I21" i="3"/>
  <c r="H21" i="3"/>
  <c r="F22" i="3"/>
  <c r="I22" i="3"/>
  <c r="H22" i="3"/>
  <c r="F23" i="3"/>
  <c r="I23" i="3"/>
  <c r="H23" i="3"/>
  <c r="I27" i="3"/>
  <c r="F28" i="3"/>
  <c r="I28" i="3"/>
  <c r="H28" i="3"/>
  <c r="F29" i="3"/>
  <c r="I29" i="3"/>
  <c r="H29" i="3"/>
  <c r="F30" i="3"/>
  <c r="I30" i="3"/>
  <c r="H30" i="3"/>
  <c r="F31" i="3"/>
  <c r="I31" i="3"/>
  <c r="H31" i="3"/>
  <c r="F32" i="3"/>
  <c r="I32" i="3"/>
  <c r="H32" i="3"/>
  <c r="F33" i="3"/>
  <c r="I33" i="3"/>
  <c r="H33" i="3"/>
  <c r="F34" i="3"/>
  <c r="I34" i="3"/>
  <c r="H34" i="3"/>
  <c r="F35" i="3"/>
  <c r="I35" i="3"/>
  <c r="H35" i="3"/>
  <c r="F36" i="3"/>
  <c r="I36" i="3"/>
  <c r="H36" i="3"/>
  <c r="F37" i="3"/>
  <c r="I37" i="3"/>
  <c r="H37" i="3"/>
  <c r="F38" i="3"/>
  <c r="I38" i="3"/>
  <c r="H38" i="3"/>
  <c r="F39" i="3"/>
  <c r="I39" i="3"/>
  <c r="H39" i="3"/>
  <c r="F40" i="3"/>
  <c r="I40" i="3"/>
  <c r="H40" i="3"/>
  <c r="F41" i="3"/>
  <c r="I41" i="3"/>
  <c r="H41" i="3"/>
  <c r="F42" i="3"/>
  <c r="I42" i="3"/>
  <c r="H42" i="3"/>
  <c r="F43" i="3"/>
  <c r="I43" i="3"/>
  <c r="H43" i="3"/>
  <c r="F44" i="3"/>
  <c r="I44" i="3"/>
  <c r="H44" i="3"/>
  <c r="F45" i="3"/>
  <c r="I45" i="3"/>
  <c r="H45" i="3"/>
  <c r="F46" i="3"/>
  <c r="I46" i="3"/>
  <c r="H46" i="3"/>
  <c r="F47" i="3"/>
  <c r="I47" i="3"/>
  <c r="H47" i="3"/>
  <c r="I51" i="3"/>
  <c r="F52" i="3"/>
  <c r="I52" i="3"/>
  <c r="H52" i="3"/>
  <c r="F53" i="3"/>
  <c r="I53" i="3"/>
  <c r="H53" i="3"/>
  <c r="F54" i="3"/>
  <c r="I54" i="3"/>
  <c r="H54" i="3"/>
  <c r="F55" i="3"/>
  <c r="I55" i="3"/>
  <c r="H55" i="3"/>
  <c r="F56" i="3"/>
  <c r="I56" i="3"/>
  <c r="H56" i="3"/>
  <c r="F57" i="3"/>
  <c r="I57" i="3"/>
  <c r="H57" i="3"/>
  <c r="F58" i="3"/>
  <c r="I58" i="3"/>
  <c r="H58" i="3"/>
  <c r="F59" i="3"/>
  <c r="I59" i="3"/>
  <c r="H59" i="3"/>
  <c r="F60" i="3"/>
  <c r="I60" i="3"/>
  <c r="H60" i="3"/>
  <c r="F61" i="3"/>
  <c r="I61" i="3"/>
  <c r="H61" i="3"/>
  <c r="F62" i="3"/>
  <c r="I62" i="3"/>
  <c r="H62" i="3"/>
  <c r="F63" i="3"/>
  <c r="I63" i="3"/>
  <c r="H63" i="3"/>
  <c r="F64" i="3"/>
  <c r="I64" i="3"/>
  <c r="H64" i="3"/>
  <c r="F65" i="3"/>
  <c r="I65" i="3"/>
  <c r="H65" i="3"/>
  <c r="F66" i="3"/>
  <c r="I66" i="3"/>
  <c r="H66" i="3"/>
  <c r="F67" i="3"/>
  <c r="I67" i="3"/>
  <c r="H67" i="3"/>
  <c r="F68" i="3"/>
  <c r="I68" i="3"/>
  <c r="H68" i="3"/>
  <c r="F69" i="3"/>
  <c r="I69" i="3"/>
  <c r="H69" i="3"/>
  <c r="F70" i="3"/>
  <c r="I70" i="3"/>
  <c r="H70" i="3"/>
  <c r="F71" i="3"/>
  <c r="I71" i="3"/>
  <c r="H71" i="3"/>
  <c r="F72" i="3"/>
  <c r="I72" i="3"/>
  <c r="H72" i="3"/>
  <c r="F73" i="3"/>
  <c r="I73" i="3"/>
  <c r="H73" i="3"/>
  <c r="F74" i="3"/>
  <c r="I74" i="3"/>
  <c r="H74" i="3"/>
  <c r="F75" i="3"/>
  <c r="I75" i="3"/>
  <c r="H75" i="3"/>
  <c r="F76" i="3"/>
  <c r="I76" i="3"/>
  <c r="H76" i="3"/>
  <c r="F77" i="3"/>
  <c r="I77" i="3"/>
  <c r="H77" i="3"/>
  <c r="F78" i="3"/>
  <c r="I78" i="3"/>
  <c r="H78" i="3"/>
  <c r="F79" i="3"/>
  <c r="I79" i="3"/>
  <c r="H79" i="3"/>
  <c r="F80" i="3"/>
  <c r="I80" i="3"/>
  <c r="H80" i="3"/>
  <c r="F81" i="3"/>
  <c r="I81" i="3"/>
  <c r="H81" i="3"/>
  <c r="B7" i="2" l="1"/>
  <c r="B8" i="2" s="1"/>
  <c r="B5" i="2"/>
  <c r="B18" i="4" s="1"/>
  <c r="B29" i="4"/>
  <c r="D29" i="4" s="1"/>
  <c r="E29" i="4" s="1"/>
  <c r="B12" i="2" l="1"/>
  <c r="B12" i="4" s="1"/>
  <c r="B14" i="4" s="1"/>
  <c r="C15" i="5" s="1"/>
  <c r="D15" i="5" s="1"/>
  <c r="B9" i="2"/>
  <c r="B13" i="2" l="1"/>
  <c r="C2" i="5" s="1"/>
  <c r="D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B2" authorId="0" shapeId="0" xr:uid="{00000000-0006-0000-0000-000001000000}">
      <text>
        <r>
          <rPr>
            <sz val="10"/>
            <rFont val="Arial"/>
            <family val="2"/>
          </rPr>
          <t>Case scenario, crop table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</rPr>
          <t>Case scenario, crop table</t>
        </r>
      </text>
    </comment>
    <comment ref="B4" authorId="0" shapeId="0" xr:uid="{00000000-0006-0000-0000-000003000000}">
      <text>
        <r>
          <rPr>
            <sz val="10"/>
            <rFont val="Arial"/>
            <family val="2"/>
          </rPr>
          <t>Case scenario, crop table</t>
        </r>
      </text>
    </comment>
    <comment ref="B5" authorId="0" shapeId="0" xr:uid="{00000000-0006-0000-0000-000004000000}">
      <text>
        <r>
          <rPr>
            <sz val="10"/>
            <rFont val="Arial"/>
            <family val="2"/>
          </rPr>
          <t>Case scenario, crop table</t>
        </r>
      </text>
    </comment>
    <comment ref="B6" authorId="0" shapeId="0" xr:uid="{00000000-0006-0000-0000-000005000000}">
      <text>
        <r>
          <rPr>
            <sz val="10"/>
            <rFont val="Arial"/>
            <family val="2"/>
          </rPr>
          <t>Case scenario, crop table</t>
        </r>
      </text>
    </comment>
    <comment ref="B7" authorId="0" shapeId="0" xr:uid="{00000000-0006-0000-0000-000006000000}">
      <text>
        <r>
          <rPr>
            <sz val="10"/>
            <rFont val="Arial"/>
            <family val="2"/>
          </rPr>
          <t>Case scenario, crop table</t>
        </r>
      </text>
    </comment>
    <comment ref="B8" authorId="0" shapeId="0" xr:uid="{00000000-0006-0000-0000-000007000000}">
      <text>
        <r>
          <rPr>
            <sz val="10"/>
            <rFont val="Arial"/>
            <family val="2"/>
          </rPr>
          <t>Case scenario, crop table</t>
        </r>
      </text>
    </comment>
    <comment ref="B9" authorId="0" shapeId="0" xr:uid="{00000000-0006-0000-0000-000008000000}">
      <text>
        <r>
          <rPr>
            <sz val="10"/>
            <rFont val="Arial"/>
            <family val="2"/>
          </rPr>
          <t>Case scenario; displayed as 0.833</t>
        </r>
      </text>
    </comment>
    <comment ref="B10" authorId="0" shapeId="0" xr:uid="{00000000-0006-0000-0000-000009000000}">
      <text>
        <r>
          <rPr>
            <sz val="10"/>
            <rFont val="Arial"/>
            <family val="2"/>
          </rPr>
          <t>Case scenario, crop table</t>
        </r>
      </text>
    </comment>
    <comment ref="B11" authorId="0" shapeId="0" xr:uid="{00000000-0006-0000-0000-00000A000000}">
      <text>
        <r>
          <rPr>
            <sz val="10"/>
            <rFont val="Arial"/>
            <family val="2"/>
          </rPr>
          <t>Case scenario, crop table</t>
        </r>
      </text>
    </comment>
    <comment ref="B12" authorId="0" shapeId="0" xr:uid="{00000000-0006-0000-0000-00000B000000}">
      <text>
        <r>
          <rPr>
            <sz val="10"/>
            <rFont val="Arial"/>
            <family val="2"/>
          </rPr>
          <t>Case scenario, crop table</t>
        </r>
      </text>
    </comment>
    <comment ref="B13" authorId="0" shapeId="0" xr:uid="{00000000-0006-0000-0000-00000C000000}">
      <text>
        <r>
          <rPr>
            <sz val="10"/>
            <rFont val="Arial"/>
            <family val="2"/>
          </rPr>
          <t>Case scenario, crop table</t>
        </r>
      </text>
    </comment>
    <comment ref="B14" authorId="0" shapeId="0" xr:uid="{00000000-0006-0000-0000-00000D000000}">
      <text>
        <r>
          <rPr>
            <sz val="10"/>
            <rFont val="Arial"/>
            <family val="2"/>
          </rPr>
          <t>Case scenario, crop table</t>
        </r>
      </text>
    </comment>
    <comment ref="B15" authorId="0" shapeId="0" xr:uid="{00000000-0006-0000-0000-00000E000000}">
      <text>
        <r>
          <rPr>
            <sz val="10"/>
            <rFont val="Arial"/>
            <family val="2"/>
          </rPr>
          <t>Case scenario, crop table</t>
        </r>
      </text>
    </comment>
    <comment ref="B16" authorId="0" shapeId="0" xr:uid="{00000000-0006-0000-0000-00000F000000}">
      <text>
        <r>
          <rPr>
            <sz val="10"/>
            <rFont val="Arial"/>
            <family val="2"/>
          </rPr>
          <t>Case scenario, crop table</t>
        </r>
      </text>
    </comment>
    <comment ref="B17" authorId="0" shapeId="0" xr:uid="{00000000-0006-0000-0000-000010000000}">
      <text>
        <r>
          <rPr>
            <sz val="10"/>
            <rFont val="Arial"/>
            <family val="2"/>
          </rPr>
          <t>Case scenario</t>
        </r>
      </text>
    </comment>
    <comment ref="B18" authorId="0" shapeId="0" xr:uid="{00000000-0006-0000-0000-000011000000}">
      <text>
        <r>
          <rPr>
            <sz val="10"/>
            <rFont val="Arial"/>
            <family val="2"/>
          </rPr>
          <t>Case scenario</t>
        </r>
      </text>
    </comment>
    <comment ref="B19" authorId="0" shapeId="0" xr:uid="{00000000-0006-0000-0000-000012000000}">
      <text>
        <r>
          <rPr>
            <sz val="10"/>
            <rFont val="Arial"/>
            <family val="2"/>
          </rPr>
          <t>Case scenario</t>
        </r>
      </text>
    </comment>
    <comment ref="B20" authorId="0" shapeId="0" xr:uid="{00000000-0006-0000-0000-000013000000}">
      <text>
        <r>
          <rPr>
            <sz val="10"/>
            <rFont val="Arial"/>
            <family val="2"/>
          </rPr>
          <t>Case scenario</t>
        </r>
      </text>
    </comment>
    <comment ref="B21" authorId="0" shapeId="0" xr:uid="{00000000-0006-0000-0000-000014000000}">
      <text>
        <r>
          <rPr>
            <sz val="10"/>
            <rFont val="Arial"/>
            <family val="2"/>
          </rPr>
          <t>Case scenario</t>
        </r>
      </text>
    </comment>
    <comment ref="B22" authorId="0" shapeId="0" xr:uid="{00000000-0006-0000-0000-000015000000}">
      <text>
        <r>
          <rPr>
            <sz val="10"/>
            <rFont val="Arial"/>
            <family val="2"/>
          </rPr>
          <t>Derived from case assumptions: 2 x FARMER_HOURS</t>
        </r>
      </text>
    </comment>
    <comment ref="B23" authorId="0" shapeId="0" xr:uid="{00000000-0006-0000-0000-000016000000}">
      <text>
        <r>
          <rPr>
            <sz val="10"/>
            <rFont val="Arial"/>
            <family val="2"/>
          </rPr>
          <t>Case scenario</t>
        </r>
      </text>
    </comment>
    <comment ref="B24" authorId="0" shapeId="0" xr:uid="{00000000-0006-0000-0000-000017000000}">
      <text>
        <r>
          <rPr>
            <sz val="10"/>
            <rFont val="Arial"/>
            <family val="2"/>
          </rPr>
          <t>Derived: FARMER_SALARY / FARMER_SEASON_HRS</t>
        </r>
      </text>
    </comment>
    <comment ref="B25" authorId="0" shapeId="0" xr:uid="{00000000-0006-0000-0000-000018000000}">
      <text>
        <r>
          <rPr>
            <sz val="10"/>
            <rFont val="Arial"/>
            <family val="2"/>
          </rPr>
          <t>Case scenario</t>
        </r>
      </text>
    </comment>
    <comment ref="B26" authorId="0" shapeId="0" xr:uid="{00000000-0006-0000-0000-000019000000}">
      <text>
        <r>
          <rPr>
            <sz val="10"/>
            <rFont val="Arial"/>
            <family val="2"/>
          </rPr>
          <t>Derived: TEMP_COST_EACH / TEMP_WORKER_HOURS</t>
        </r>
      </text>
    </comment>
    <comment ref="B27" authorId="0" shapeId="0" xr:uid="{00000000-0006-0000-0000-00001A000000}">
      <text>
        <r>
          <rPr>
            <sz val="10"/>
            <rFont val="Arial"/>
            <family val="2"/>
          </rPr>
          <t>Case scenario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<sst xmlns="http://schemas.openxmlformats.org/spreadsheetml/2006/main" count="252" uniqueCount="180">
  <si>
    <t>Name</t>
  </si>
  <si>
    <t>Value</t>
  </si>
  <si>
    <t>Unit</t>
  </si>
  <si>
    <t>Source</t>
  </si>
  <si>
    <t>TOM_MAX_BEDS</t>
  </si>
  <si>
    <t>num beds</t>
  </si>
  <si>
    <t>Case scenario, crop table</t>
  </si>
  <si>
    <t>TOM_PRICE</t>
  </si>
  <si>
    <t>USD per bed</t>
  </si>
  <si>
    <t>TOM_HRS</t>
  </si>
  <si>
    <t>hours per week per bed</t>
  </si>
  <si>
    <t>TOM_FERT_COST</t>
  </si>
  <si>
    <t>TOM_DIM_PCT</t>
  </si>
  <si>
    <t>percent per bed</t>
  </si>
  <si>
    <t>CAR_MAX_BEDS</t>
  </si>
  <si>
    <t>CAR_PRICE</t>
  </si>
  <si>
    <t>CAR_HRS</t>
  </si>
  <si>
    <t>Case scenario; displayed as 0.833</t>
  </si>
  <si>
    <t>CAR_FERT_COST</t>
  </si>
  <si>
    <t>CAR_DIM_PCT</t>
  </si>
  <si>
    <t>MES_MAX_BEDS</t>
  </si>
  <si>
    <t>MES_PRICE</t>
  </si>
  <si>
    <t>MES_HRS</t>
  </si>
  <si>
    <t>MES_FERT_COST</t>
  </si>
  <si>
    <t>MES_DIM_PCT</t>
  </si>
  <si>
    <t>TOTAL_BEDS</t>
  </si>
  <si>
    <t>Case scenario</t>
  </si>
  <si>
    <t>FARMER_HOURS</t>
  </si>
  <si>
    <t>hours</t>
  </si>
  <si>
    <t>TEMP_WORKER_HOURS</t>
  </si>
  <si>
    <t>max hours per worker</t>
  </si>
  <si>
    <t>MAX_TEMP_WORKERS</t>
  </si>
  <si>
    <t>max num workers</t>
  </si>
  <si>
    <t>BED_FIXED_COST</t>
  </si>
  <si>
    <t>USD</t>
  </si>
  <si>
    <t>FARMER_SEASON_HRS</t>
  </si>
  <si>
    <t>Derived from case assumptions: 2 x FARMER_HOURS</t>
  </si>
  <si>
    <t>FARMER_SALARY</t>
  </si>
  <si>
    <t>FARMER_RATE</t>
  </si>
  <si>
    <t>USD per hour</t>
  </si>
  <si>
    <t>Derived: FARMER_SALARY / FARMER_SEASON_HRS</t>
  </si>
  <si>
    <t>TEMP_COST_EACH</t>
  </si>
  <si>
    <t>USD per worker per season</t>
  </si>
  <si>
    <t>TEMP_RATE</t>
  </si>
  <si>
    <t>Derived: TEMP_COST_EACH / TEMP_WORKER_HOURS</t>
  </si>
  <si>
    <t>SEASON_WEEKS</t>
  </si>
  <si>
    <t>num weeks</t>
  </si>
  <si>
    <t>Metric</t>
  </si>
  <si>
    <t>Total Labor Hours</t>
  </si>
  <si>
    <t>Farmer Hours Used</t>
  </si>
  <si>
    <t>Temporary Hours Used</t>
  </si>
  <si>
    <t>Temporary Workers Used</t>
  </si>
  <si>
    <t>workers</t>
  </si>
  <si>
    <t>Farmer Labor Cost</t>
  </si>
  <si>
    <t>Temporary Labor Cost</t>
  </si>
  <si>
    <t>Total Labor Cost</t>
  </si>
  <si>
    <t>Blended Labor Rate</t>
  </si>
  <si>
    <t>Total Fertilizer Cost</t>
  </si>
  <si>
    <t>Total Fixed Cost</t>
  </si>
  <si>
    <t>Total Variable Cost</t>
  </si>
  <si>
    <t>Full-Model Total Cost</t>
  </si>
  <si>
    <t>Tomatoes Marginal Cost Schedule</t>
  </si>
  <si>
    <t>q</t>
  </si>
  <si>
    <t>Labor Hours</t>
  </si>
  <si>
    <t>Labor Cost</t>
  </si>
  <si>
    <t>Fertilizer Cost</t>
  </si>
  <si>
    <t>Total Cost</t>
  </si>
  <si>
    <t>Marginal Cost</t>
  </si>
  <si>
    <t>Revenue</t>
  </si>
  <si>
    <t>Marginal Revenue</t>
  </si>
  <si>
    <t>Profit Contribution</t>
  </si>
  <si>
    <t>Carrots Marginal Cost Schedule</t>
  </si>
  <si>
    <t>Mesclun Marginal Cost Schedule</t>
  </si>
  <si>
    <t>Decision Variables</t>
  </si>
  <si>
    <t>Tomato Beds</t>
  </si>
  <si>
    <t>Carrot Beds</t>
  </si>
  <si>
    <t>Mesclun Beds</t>
  </si>
  <si>
    <t>Required Outputs</t>
  </si>
  <si>
    <t>Optimal Tomato Beds</t>
  </si>
  <si>
    <t>Optimal Carrot Beds</t>
  </si>
  <si>
    <t>Optimal Mesclun Beds</t>
  </si>
  <si>
    <t>Total Revenue</t>
  </si>
  <si>
    <t>Total Profit</t>
  </si>
  <si>
    <t>Total Labor Used</t>
  </si>
  <si>
    <t>Total Labor Available</t>
  </si>
  <si>
    <t>Unused Labor Hours</t>
  </si>
  <si>
    <t>Unused Beds</t>
  </si>
  <si>
    <t>Acceptance Status</t>
  </si>
  <si>
    <t>Change to RUN after Solver completes and the workbook is recalculated.</t>
  </si>
  <si>
    <t>Constraint Calculations</t>
  </si>
  <si>
    <t>Constraint</t>
  </si>
  <si>
    <t>Used</t>
  </si>
  <si>
    <t>Limit</t>
  </si>
  <si>
    <t>Slack / Variance</t>
  </si>
  <si>
    <t>Status</t>
  </si>
  <si>
    <t>Tomato maximum</t>
  </si>
  <si>
    <t>Carrot maximum</t>
  </si>
  <si>
    <t>Mesclun maximum</t>
  </si>
  <si>
    <t>Total land</t>
  </si>
  <si>
    <t>Temporary labor capacity</t>
  </si>
  <si>
    <t>Tomato nonnegative</t>
  </si>
  <si>
    <t>Carrot nonnegative</t>
  </si>
  <si>
    <t>Mesclun nonnegative</t>
  </si>
  <si>
    <t>Tomato integer</t>
  </si>
  <si>
    <t>Carrot integer</t>
  </si>
  <si>
    <t>Mesclun integer</t>
  </si>
  <si>
    <t>Solver Setup</t>
  </si>
  <si>
    <t>Objective</t>
  </si>
  <si>
    <t>TOTAL_PROFIT</t>
  </si>
  <si>
    <t>Optimize</t>
  </si>
  <si>
    <t>Maximize</t>
  </si>
  <si>
    <t>Changing Cells</t>
  </si>
  <si>
    <t>TOM_BEDS, CAR_BEDS, MES_BEDS</t>
  </si>
  <si>
    <t>Method</t>
  </si>
  <si>
    <t>GRG Nonlinear</t>
  </si>
  <si>
    <t>Constraint 1</t>
  </si>
  <si>
    <t>TOM_BEDS &lt;= TOM_MAX_BEDS</t>
  </si>
  <si>
    <t>Constraint 2</t>
  </si>
  <si>
    <t>CAR_BEDS &lt;= CAR_MAX_BEDS</t>
  </si>
  <si>
    <t>Constraint 3</t>
  </si>
  <si>
    <t>MES_BEDS &lt;= MES_MAX_BEDS</t>
  </si>
  <si>
    <t>Constraint 4</t>
  </si>
  <si>
    <t>TOM_BEDS + CAR_BEDS + MES_BEDS &lt;= TOTAL_BEDS</t>
  </si>
  <si>
    <t>Constraint 5</t>
  </si>
  <si>
    <t>TEMP_HOURS_USED &lt;= MAX_TEMP_WORKERS * TEMP_WORKER_HOURS</t>
  </si>
  <si>
    <t>Constraints 6-8</t>
  </si>
  <si>
    <t>TOM_BEDS, CAR_BEDS, MES_BEDS &gt;= 0</t>
  </si>
  <si>
    <t>Constraints 9-11</t>
  </si>
  <si>
    <t>TOM_BEDS, CAR_BEDS, MES_BEDS = integer</t>
  </si>
  <si>
    <t>Validation Rule</t>
  </si>
  <si>
    <t>Expected Result</t>
  </si>
  <si>
    <t>Actual Result</t>
  </si>
  <si>
    <t>PASS/FAIL</t>
  </si>
  <si>
    <t>No spreadsheet error cells</t>
  </si>
  <si>
    <t>No errors</t>
  </si>
  <si>
    <t>Every designated calculated cell contains a formula</t>
  </si>
  <si>
    <t>646 formula cells</t>
  </si>
  <si>
    <t>Every input Value cell contains a constant</t>
  </si>
  <si>
    <t>26 constants</t>
  </si>
  <si>
    <t>Total allocated beds &lt;= TOTAL_BEDS</t>
  </si>
  <si>
    <t>Tomato allocation &lt;= TOM_MAX_BEDS</t>
  </si>
  <si>
    <t>Carrot allocation &lt;= CAR_MAX_BEDS</t>
  </si>
  <si>
    <t>Mesclun allocation &lt;= MES_MAX_BEDS</t>
  </si>
  <si>
    <t>Tomato allocation &gt;= 0</t>
  </si>
  <si>
    <t>Carrot allocation &gt;= 0</t>
  </si>
  <si>
    <t>Mesclun allocation &gt;= 0</t>
  </si>
  <si>
    <t>Optimal tomato beds = 10</t>
  </si>
  <si>
    <t>Optimal carrot beds = 20</t>
  </si>
  <si>
    <t>Optimal mesclun beds = 30</t>
  </si>
  <si>
    <t>Season profit = $42,762 +/- $5</t>
  </si>
  <si>
    <t>$42,757 to $42,767</t>
  </si>
  <si>
    <t>Tomato labor hours at q = 1 equals 99</t>
  </si>
  <si>
    <t>99</t>
  </si>
  <si>
    <t>Audit Findings</t>
  </si>
  <si>
    <t>What was checked</t>
  </si>
  <si>
    <t>What was found</t>
  </si>
  <si>
    <t>Action taken</t>
  </si>
  <si>
    <t>Result</t>
  </si>
  <si>
    <t>Acceptance mathematics</t>
  </si>
  <si>
    <t>The specified formulas produce 10 tomato, 20 carrot, and 30 mesclun beds with profit of $42,761.66.</t>
  </si>
  <si>
    <t>Implemented formulas exactly as approved.</t>
  </si>
  <si>
    <t>Consistent</t>
  </si>
  <si>
    <t>Temporary labor costing</t>
  </si>
  <si>
    <t>The acceptance result requires hourly temporary labor cost; workers used is a staffing/capacity metric.</t>
  </si>
  <si>
    <t>Used TEMP_HOURS_USED x TEMP_RATE for cost and CEILING only for workers required.</t>
  </si>
  <si>
    <t>Resolved</t>
  </si>
  <si>
    <t>Farmer labor costing</t>
  </si>
  <si>
    <t>Farmer cost is based on hours used at FARMER_RATE, not the full salary.</t>
  </si>
  <si>
    <t>Implemented FARMER_HOURS_USED x FARMER_RATE.</t>
  </si>
  <si>
    <t>Schedule definitions</t>
  </si>
  <si>
    <t>Marginal revenue and profit contribution were not explicit.</t>
  </si>
  <si>
    <t>Used change in revenue for MR and revenue less schedule total cost for contribution.</t>
  </si>
  <si>
    <t>Initial acceptance state</t>
  </si>
  <si>
    <t>Decision variables must start at zero, so optimum checks cannot initially pass.</t>
  </si>
  <si>
    <t>Added NOT RUN/RUN control; optimum checks show NOT EVALUATED until RUN.</t>
  </si>
  <si>
    <t>Solver handoff</t>
  </si>
  <si>
    <t>A macro-free workbook needs a visible, reproducible Solver specification.</t>
  </si>
  <si>
    <t>Added the complete Solver Setup section on Optimization.</t>
  </si>
  <si>
    <t>Documented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</si>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</sst>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\(#,##0\);\-"/>
    <numFmt numFmtId="165" formatCode="\$#,##0.;[Red]&quot;($&quot;#,##0.\);\-"/>
    <numFmt numFmtId="166" formatCode="#,##0.00;[Red]\(#,##0.00\);\-"/>
    <numFmt numFmtId="167" formatCode="0.0%"/>
    <numFmt numFmtId="168" formatCode="0.000"/>
    <numFmt numFmtId="169" formatCode="\$#,##0.00;[Red]&quot;($&quot;#,##0.00\);\-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sz val="11"/>
      <color rgb="FF666666"/>
      <name val="Cambria"/>
      <family val="1"/>
    </font>
    <font>
      <sz val="11"/>
      <color rgb="FF0000FF"/>
      <name val="Cambria"/>
      <family val="1"/>
    </font>
    <font>
      <sz val="10"/>
      <name val="Arial"/>
      <family val="2"/>
    </font>
    <font>
      <sz val="11"/>
      <color rgb="FF000000"/>
      <name val="Cambria"/>
      <family val="1"/>
    </font>
    <font>
      <b/>
      <sz val="11"/>
      <name val="Cambria"/>
      <family val="1"/>
    </font>
    <font>
      <b/>
      <sz val="13"/>
      <color rgb="FFFFFFFF"/>
      <name val="Cambria"/>
      <family val="1"/>
    </font>
    <font>
      <sz val="11"/>
      <color rgb="FF008000"/>
      <name val="Cambria"/>
      <family val="1"/>
    </font>
    <font>
      <b/>
      <sz val="11"/>
      <color rgb="FF0000FF"/>
      <name val="Cambria"/>
      <family val="1"/>
    </font>
    <font>
      <i/>
      <sz val="11"/>
      <color rgb="FF666666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CE4D6"/>
        <bgColor rgb="FFE2F0D9"/>
      </patternFill>
    </fill>
  </fills>
  <borders count="3">
    <border>
      <left/>
      <right/>
      <top/>
      <bottom/>
      <diagonal/>
    </border>
    <border>
      <left/>
      <right/>
      <top style="thin">
        <color rgb="FFA6A6A6"/>
      </top>
      <bottom/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3" fillId="3" borderId="0" xfId="0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169" fontId="8" fillId="0" borderId="0" xfId="0" applyNumberFormat="1" applyFont="1" applyAlignment="1">
      <alignment vertical="center"/>
    </xf>
    <xf numFmtId="0" fontId="6" fillId="0" borderId="2" xfId="0" applyFont="1" applyBorder="1" applyAlignment="1">
      <alignment vertical="center"/>
    </xf>
    <xf numFmtId="169" fontId="6" fillId="0" borderId="2" xfId="0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7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8" customWidth="1"/>
    <col min="3" max="3" width="28" customWidth="1"/>
    <col min="4" max="4" width="6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>
        <v>20</v>
      </c>
      <c r="C2" s="3" t="s">
        <v>5</v>
      </c>
      <c r="D2" s="3" t="s">
        <v>6</v>
      </c>
    </row>
    <row r="3" spans="1:4" x14ac:dyDescent="0.25">
      <c r="A3" s="3" t="s">
        <v>7</v>
      </c>
      <c r="B3" s="5">
        <v>8800</v>
      </c>
      <c r="C3" s="3" t="s">
        <v>8</v>
      </c>
      <c r="D3" s="3" t="s">
        <v>6</v>
      </c>
    </row>
    <row r="4" spans="1:4" x14ac:dyDescent="0.25">
      <c r="A4" s="3" t="s">
        <v>9</v>
      </c>
      <c r="B4" s="6">
        <v>2.5</v>
      </c>
      <c r="C4" s="3" t="s">
        <v>10</v>
      </c>
      <c r="D4" s="3" t="s">
        <v>6</v>
      </c>
    </row>
    <row r="5" spans="1:4" x14ac:dyDescent="0.25">
      <c r="A5" s="3" t="s">
        <v>11</v>
      </c>
      <c r="B5" s="5">
        <v>880</v>
      </c>
      <c r="C5" s="3" t="s">
        <v>8</v>
      </c>
      <c r="D5" s="3" t="s">
        <v>6</v>
      </c>
    </row>
    <row r="6" spans="1:4" x14ac:dyDescent="0.25">
      <c r="A6" s="3" t="s">
        <v>12</v>
      </c>
      <c r="B6" s="7">
        <v>0.1</v>
      </c>
      <c r="C6" s="3" t="s">
        <v>13</v>
      </c>
      <c r="D6" s="3" t="s">
        <v>6</v>
      </c>
    </row>
    <row r="7" spans="1:4" x14ac:dyDescent="0.25">
      <c r="A7" s="3" t="s">
        <v>14</v>
      </c>
      <c r="B7" s="4">
        <v>20</v>
      </c>
      <c r="C7" s="3" t="s">
        <v>5</v>
      </c>
      <c r="D7" s="3" t="s">
        <v>6</v>
      </c>
    </row>
    <row r="8" spans="1:4" x14ac:dyDescent="0.25">
      <c r="A8" s="3" t="s">
        <v>15</v>
      </c>
      <c r="B8" s="5">
        <v>2094</v>
      </c>
      <c r="C8" s="3" t="s">
        <v>8</v>
      </c>
      <c r="D8" s="3" t="s">
        <v>6</v>
      </c>
    </row>
    <row r="9" spans="1:4" x14ac:dyDescent="0.25">
      <c r="A9" s="3" t="s">
        <v>16</v>
      </c>
      <c r="B9" s="8">
        <v>0.83333333333333304</v>
      </c>
      <c r="C9" s="3" t="s">
        <v>10</v>
      </c>
      <c r="D9" s="3" t="s">
        <v>17</v>
      </c>
    </row>
    <row r="10" spans="1:4" x14ac:dyDescent="0.25">
      <c r="A10" s="3" t="s">
        <v>18</v>
      </c>
      <c r="B10" s="5">
        <v>440</v>
      </c>
      <c r="C10" s="3" t="s">
        <v>8</v>
      </c>
      <c r="D10" s="3" t="s">
        <v>6</v>
      </c>
    </row>
    <row r="11" spans="1:4" x14ac:dyDescent="0.25">
      <c r="A11" s="3" t="s">
        <v>19</v>
      </c>
      <c r="B11" s="7">
        <v>2.5000000000000001E-2</v>
      </c>
      <c r="C11" s="3" t="s">
        <v>13</v>
      </c>
      <c r="D11" s="3" t="s">
        <v>6</v>
      </c>
    </row>
    <row r="12" spans="1:4" x14ac:dyDescent="0.25">
      <c r="A12" s="3" t="s">
        <v>20</v>
      </c>
      <c r="B12" s="4">
        <v>30</v>
      </c>
      <c r="C12" s="3" t="s">
        <v>5</v>
      </c>
      <c r="D12" s="3" t="s">
        <v>6</v>
      </c>
    </row>
    <row r="13" spans="1:4" x14ac:dyDescent="0.25">
      <c r="A13" s="3" t="s">
        <v>21</v>
      </c>
      <c r="B13" s="5">
        <v>2700</v>
      </c>
      <c r="C13" s="3" t="s">
        <v>8</v>
      </c>
      <c r="D13" s="3" t="s">
        <v>6</v>
      </c>
    </row>
    <row r="14" spans="1:4" x14ac:dyDescent="0.25">
      <c r="A14" s="3" t="s">
        <v>22</v>
      </c>
      <c r="B14" s="6">
        <v>1.25</v>
      </c>
      <c r="C14" s="3" t="s">
        <v>10</v>
      </c>
      <c r="D14" s="3" t="s">
        <v>6</v>
      </c>
    </row>
    <row r="15" spans="1:4" x14ac:dyDescent="0.25">
      <c r="A15" s="3" t="s">
        <v>23</v>
      </c>
      <c r="B15" s="5">
        <v>880</v>
      </c>
      <c r="C15" s="3" t="s">
        <v>8</v>
      </c>
      <c r="D15" s="3" t="s">
        <v>6</v>
      </c>
    </row>
    <row r="16" spans="1:4" x14ac:dyDescent="0.25">
      <c r="A16" s="3" t="s">
        <v>24</v>
      </c>
      <c r="B16" s="7">
        <v>1.2500000000000001E-2</v>
      </c>
      <c r="C16" s="3" t="s">
        <v>13</v>
      </c>
      <c r="D16" s="3" t="s">
        <v>6</v>
      </c>
    </row>
    <row r="17" spans="1:4" x14ac:dyDescent="0.25">
      <c r="A17" s="3" t="s">
        <v>25</v>
      </c>
      <c r="B17" s="4">
        <v>64</v>
      </c>
      <c r="C17" s="3" t="s">
        <v>5</v>
      </c>
      <c r="D17" s="3" t="s">
        <v>26</v>
      </c>
    </row>
    <row r="18" spans="1:4" x14ac:dyDescent="0.25">
      <c r="A18" s="3" t="s">
        <v>27</v>
      </c>
      <c r="B18" s="4">
        <v>720</v>
      </c>
      <c r="C18" s="3" t="s">
        <v>28</v>
      </c>
      <c r="D18" s="3" t="s">
        <v>26</v>
      </c>
    </row>
    <row r="19" spans="1:4" x14ac:dyDescent="0.25">
      <c r="A19" s="3" t="s">
        <v>29</v>
      </c>
      <c r="B19" s="4">
        <v>1440</v>
      </c>
      <c r="C19" s="3" t="s">
        <v>30</v>
      </c>
      <c r="D19" s="3" t="s">
        <v>26</v>
      </c>
    </row>
    <row r="20" spans="1:4" x14ac:dyDescent="0.25">
      <c r="A20" s="3" t="s">
        <v>31</v>
      </c>
      <c r="B20" s="4">
        <v>4</v>
      </c>
      <c r="C20" s="3" t="s">
        <v>32</v>
      </c>
      <c r="D20" s="3" t="s">
        <v>26</v>
      </c>
    </row>
    <row r="21" spans="1:4" x14ac:dyDescent="0.25">
      <c r="A21" s="3" t="s">
        <v>33</v>
      </c>
      <c r="B21" s="5">
        <v>20000</v>
      </c>
      <c r="C21" s="3" t="s">
        <v>34</v>
      </c>
      <c r="D21" s="3" t="s">
        <v>26</v>
      </c>
    </row>
    <row r="22" spans="1:4" x14ac:dyDescent="0.25">
      <c r="A22" s="3" t="s">
        <v>35</v>
      </c>
      <c r="B22" s="4">
        <v>1440</v>
      </c>
      <c r="C22" s="3" t="s">
        <v>28</v>
      </c>
      <c r="D22" s="3" t="s">
        <v>36</v>
      </c>
    </row>
    <row r="23" spans="1:4" x14ac:dyDescent="0.25">
      <c r="A23" s="3" t="s">
        <v>37</v>
      </c>
      <c r="B23" s="5">
        <v>50000</v>
      </c>
      <c r="C23" s="3" t="s">
        <v>34</v>
      </c>
      <c r="D23" s="3" t="s">
        <v>26</v>
      </c>
    </row>
    <row r="24" spans="1:4" x14ac:dyDescent="0.25">
      <c r="A24" s="3" t="s">
        <v>38</v>
      </c>
      <c r="B24" s="9">
        <v>34.722222222200003</v>
      </c>
      <c r="C24" s="3" t="s">
        <v>39</v>
      </c>
      <c r="D24" s="3" t="s">
        <v>40</v>
      </c>
    </row>
    <row r="25" spans="1:4" x14ac:dyDescent="0.25">
      <c r="A25" s="3" t="s">
        <v>41</v>
      </c>
      <c r="B25" s="5">
        <v>25000</v>
      </c>
      <c r="C25" s="3" t="s">
        <v>42</v>
      </c>
      <c r="D25" s="3" t="s">
        <v>26</v>
      </c>
    </row>
    <row r="26" spans="1:4" x14ac:dyDescent="0.25">
      <c r="A26" s="3" t="s">
        <v>43</v>
      </c>
      <c r="B26" s="9">
        <v>17.361111111100001</v>
      </c>
      <c r="C26" s="3" t="s">
        <v>39</v>
      </c>
      <c r="D26" s="3" t="s">
        <v>44</v>
      </c>
    </row>
    <row r="27" spans="1:4" x14ac:dyDescent="0.25">
      <c r="A27" s="3" t="s">
        <v>45</v>
      </c>
      <c r="B27" s="4">
        <v>36</v>
      </c>
      <c r="C27" s="3" t="s">
        <v>46</v>
      </c>
      <c r="D27" s="3" t="s">
        <v>26</v>
      </c>
    </row>
  </sheetData>
  <autoFilter ref="A1:D27" xr:uid="{00000000-0009-0000-0000-000000000000}"/>
  <pageMargins left="0.25" right="0.25" top="0.5" bottom="0.5" header="0.511811023622047" footer="0.511811023622047"/>
  <pageSetup fitToHeight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3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20" customWidth="1"/>
    <col min="3" max="3" width="24" customWidth="1"/>
  </cols>
  <sheetData>
    <row r="1" spans="1:3" x14ac:dyDescent="0.25">
      <c r="A1" s="2" t="s">
        <v>47</v>
      </c>
      <c r="B1" s="2" t="s">
        <v>1</v>
      </c>
      <c r="C1" s="2" t="s">
        <v>2</v>
      </c>
    </row>
    <row r="2" spans="1:3" x14ac:dyDescent="0.25">
      <c r="A2" s="1" t="s">
        <v>48</v>
      </c>
      <c r="B2" s="10">
        <f>TOM_BEDS*TOM_HRS*SEASON_WEEKS*(1+TOM_DIM_PCT)^TOM_BEDS+CAR_BEDS*CAR_HRS*SEASON_WEEKS*(1+CAR_DIM_PCT)^CAR_BEDS+MES_BEDS*MES_HRS*SEASON_WEEKS*(1+MES_DIM_PCT)^MES_BEDS</f>
        <v>5277.2161142738878</v>
      </c>
      <c r="C2" s="1" t="s">
        <v>28</v>
      </c>
    </row>
    <row r="3" spans="1:3" x14ac:dyDescent="0.25">
      <c r="A3" s="1" t="s">
        <v>49</v>
      </c>
      <c r="B3" s="10">
        <f>MIN(TOTAL_LABOR_HRS,FARMER_HOURS)</f>
        <v>720</v>
      </c>
      <c r="C3" s="1" t="s">
        <v>28</v>
      </c>
    </row>
    <row r="4" spans="1:3" x14ac:dyDescent="0.25">
      <c r="A4" s="1" t="s">
        <v>50</v>
      </c>
      <c r="B4" s="10">
        <f>MAX(0,TOTAL_LABOR_HRS-FARMER_HOURS)</f>
        <v>4557.2161142738878</v>
      </c>
      <c r="C4" s="1" t="s">
        <v>28</v>
      </c>
    </row>
    <row r="5" spans="1:3" x14ac:dyDescent="0.25">
      <c r="A5" s="1" t="s">
        <v>51</v>
      </c>
      <c r="B5" s="10">
        <f>CEILING(TEMP_HOURS_USED/TEMP_WORKER_HOURS,1)</f>
        <v>4</v>
      </c>
      <c r="C5" s="1" t="s">
        <v>52</v>
      </c>
    </row>
    <row r="6" spans="1:3" x14ac:dyDescent="0.25">
      <c r="A6" s="1" t="s">
        <v>53</v>
      </c>
      <c r="B6" s="11">
        <f>FARMER_HOURS_USED*FARMER_RATE</f>
        <v>24999.999999984</v>
      </c>
      <c r="C6" s="1" t="s">
        <v>34</v>
      </c>
    </row>
    <row r="7" spans="1:3" x14ac:dyDescent="0.25">
      <c r="A7" s="1" t="s">
        <v>54</v>
      </c>
      <c r="B7" s="11">
        <f>TEMP_HOURS_USED*TEMP_RATE</f>
        <v>79118.335317204372</v>
      </c>
      <c r="C7" s="1" t="s">
        <v>34</v>
      </c>
    </row>
    <row r="8" spans="1:3" x14ac:dyDescent="0.25">
      <c r="A8" s="12" t="s">
        <v>55</v>
      </c>
      <c r="B8" s="13">
        <f>FARMER_LABOR_COST+TEMP_LABOR_COST</f>
        <v>104118.33531718838</v>
      </c>
      <c r="C8" s="14" t="s">
        <v>34</v>
      </c>
    </row>
    <row r="9" spans="1:3" x14ac:dyDescent="0.25">
      <c r="A9" s="1" t="s">
        <v>56</v>
      </c>
      <c r="B9" s="11">
        <f>IF(TOTAL_LABOR_HRS=0,0,TOTAL_LABOR_COST/TOTAL_LABOR_HRS)</f>
        <v>19.729784238998221</v>
      </c>
      <c r="C9" s="1" t="s">
        <v>39</v>
      </c>
    </row>
    <row r="10" spans="1:3" x14ac:dyDescent="0.25">
      <c r="A10" s="1" t="s">
        <v>57</v>
      </c>
      <c r="B10" s="11">
        <f>TOM_BEDS*TOM_FERT_COST+CAR_BEDS*CAR_FERT_COST+MES_BEDS*MES_FERT_COST</f>
        <v>44000</v>
      </c>
      <c r="C10" s="1" t="s">
        <v>34</v>
      </c>
    </row>
    <row r="11" spans="1:3" x14ac:dyDescent="0.25">
      <c r="A11" s="1" t="s">
        <v>58</v>
      </c>
      <c r="B11" s="11">
        <f>BED_FIXED_COST</f>
        <v>20000</v>
      </c>
      <c r="C11" s="1" t="s">
        <v>34</v>
      </c>
    </row>
    <row r="12" spans="1:3" x14ac:dyDescent="0.25">
      <c r="A12" s="12" t="s">
        <v>59</v>
      </c>
      <c r="B12" s="13">
        <f>TOTAL_LABOR_COST+TOTAL_FERTILIZER_COST</f>
        <v>148118.33531718838</v>
      </c>
      <c r="C12" s="14" t="s">
        <v>34</v>
      </c>
    </row>
    <row r="13" spans="1:3" x14ac:dyDescent="0.25">
      <c r="A13" s="12" t="s">
        <v>60</v>
      </c>
      <c r="B13" s="13">
        <f>B12+B11</f>
        <v>168118.33531718838</v>
      </c>
      <c r="C13" s="14" t="s">
        <v>34</v>
      </c>
    </row>
  </sheetData>
  <pageMargins left="0.25" right="0.25" top="0.5" bottom="0.5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81"/>
  <sheetViews>
    <sheetView showGridLines="0" tabSelected="1" zoomScaleNormal="100" workbookViewId="0">
      <pane ySplit="2" topLeftCell="A3" activePane="bottomLeft" state="frozen"/>
      <selection pane="bottomLeft" activeCell="A13" sqref="A13:XFD13"/>
    </sheetView>
  </sheetViews>
  <sheetFormatPr defaultColWidth="8.7109375" defaultRowHeight="15" x14ac:dyDescent="0.25"/>
  <cols>
    <col min="1" max="1" width="8" customWidth="1"/>
    <col min="2" max="3" width="16" customWidth="1"/>
    <col min="4" max="4" width="18" customWidth="1"/>
    <col min="5" max="7" width="16" customWidth="1"/>
    <col min="8" max="8" width="18" customWidth="1"/>
    <col min="9" max="9" width="20" customWidth="1"/>
  </cols>
  <sheetData>
    <row r="1" spans="1:9" ht="16.5" x14ac:dyDescent="0.25">
      <c r="A1" s="30" t="s">
        <v>61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</row>
    <row r="3" spans="1:9" x14ac:dyDescent="0.25">
      <c r="A3" s="3">
        <v>0</v>
      </c>
      <c r="B3" s="10">
        <f t="shared" ref="B3:B23" si="0">A3*TOM_HRS*SEASON_WEEKS*(1+TOM_DIM_PCT)^A3</f>
        <v>0</v>
      </c>
      <c r="C3" s="11">
        <f t="shared" ref="C3:C23" si="1">MIN(B3,FARMER_HOURS)*FARMER_RATE+MAX(0,B3-FARMER_HOURS)*TEMP_RATE</f>
        <v>0</v>
      </c>
      <c r="D3" s="11">
        <f t="shared" ref="D3:D23" si="2">A3*TOM_FERT_COST</f>
        <v>0</v>
      </c>
      <c r="E3" s="11">
        <f t="shared" ref="E3:E23" si="3">C3+D3</f>
        <v>0</v>
      </c>
      <c r="F3" s="11"/>
      <c r="G3" s="11">
        <f t="shared" ref="G3:G23" si="4">A3*TOM_PRICE</f>
        <v>0</v>
      </c>
      <c r="H3" s="11"/>
      <c r="I3" s="11">
        <f t="shared" ref="I3:I23" si="5">G3-E3</f>
        <v>0</v>
      </c>
    </row>
    <row r="4" spans="1:9" x14ac:dyDescent="0.25">
      <c r="A4" s="3">
        <v>1</v>
      </c>
      <c r="B4" s="10">
        <f t="shared" si="0"/>
        <v>99.000000000000014</v>
      </c>
      <c r="C4" s="11">
        <f t="shared" si="1"/>
        <v>3437.4999999978008</v>
      </c>
      <c r="D4" s="11">
        <f t="shared" si="2"/>
        <v>880</v>
      </c>
      <c r="E4" s="11">
        <f t="shared" si="3"/>
        <v>4317.4999999978008</v>
      </c>
      <c r="F4" s="11">
        <f t="shared" ref="F4:F23" si="6">E4-E3</f>
        <v>4317.4999999978008</v>
      </c>
      <c r="G4" s="11">
        <f t="shared" si="4"/>
        <v>8800</v>
      </c>
      <c r="H4" s="11">
        <f t="shared" ref="H4:H23" si="7">G4-G3</f>
        <v>8800</v>
      </c>
      <c r="I4" s="11">
        <f t="shared" si="5"/>
        <v>4482.5000000021992</v>
      </c>
    </row>
    <row r="5" spans="1:9" x14ac:dyDescent="0.25">
      <c r="A5" s="3">
        <v>2</v>
      </c>
      <c r="B5" s="10">
        <f t="shared" si="0"/>
        <v>217.80000000000004</v>
      </c>
      <c r="C5" s="11">
        <f t="shared" si="1"/>
        <v>7562.4999999951624</v>
      </c>
      <c r="D5" s="11">
        <f t="shared" si="2"/>
        <v>1760</v>
      </c>
      <c r="E5" s="11">
        <f t="shared" si="3"/>
        <v>9322.4999999951615</v>
      </c>
      <c r="F5" s="11">
        <f t="shared" si="6"/>
        <v>5004.9999999973606</v>
      </c>
      <c r="G5" s="11">
        <f t="shared" si="4"/>
        <v>17600</v>
      </c>
      <c r="H5" s="11">
        <f t="shared" si="7"/>
        <v>8800</v>
      </c>
      <c r="I5" s="11">
        <f t="shared" si="5"/>
        <v>8277.5000000048385</v>
      </c>
    </row>
    <row r="6" spans="1:9" x14ac:dyDescent="0.25">
      <c r="A6" s="3">
        <v>3</v>
      </c>
      <c r="B6" s="10">
        <f t="shared" si="0"/>
        <v>359.37000000000012</v>
      </c>
      <c r="C6" s="11">
        <f t="shared" si="1"/>
        <v>12478.124999992018</v>
      </c>
      <c r="D6" s="11">
        <f t="shared" si="2"/>
        <v>2640</v>
      </c>
      <c r="E6" s="11">
        <f t="shared" si="3"/>
        <v>15118.124999992018</v>
      </c>
      <c r="F6" s="11">
        <f t="shared" si="6"/>
        <v>5795.6249999968568</v>
      </c>
      <c r="G6" s="11">
        <f t="shared" si="4"/>
        <v>26400</v>
      </c>
      <c r="H6" s="11">
        <f t="shared" si="7"/>
        <v>8800</v>
      </c>
      <c r="I6" s="11">
        <f t="shared" si="5"/>
        <v>11281.875000007982</v>
      </c>
    </row>
    <row r="7" spans="1:9" x14ac:dyDescent="0.25">
      <c r="A7" s="3">
        <v>4</v>
      </c>
      <c r="B7" s="10">
        <f t="shared" si="0"/>
        <v>527.07600000000014</v>
      </c>
      <c r="C7" s="11">
        <f t="shared" si="1"/>
        <v>18301.249999988293</v>
      </c>
      <c r="D7" s="11">
        <f t="shared" si="2"/>
        <v>3520</v>
      </c>
      <c r="E7" s="11">
        <f t="shared" si="3"/>
        <v>21821.249999988293</v>
      </c>
      <c r="F7" s="11">
        <f t="shared" si="6"/>
        <v>6703.1249999962747</v>
      </c>
      <c r="G7" s="11">
        <f t="shared" si="4"/>
        <v>35200</v>
      </c>
      <c r="H7" s="11">
        <f t="shared" si="7"/>
        <v>8800</v>
      </c>
      <c r="I7" s="11">
        <f t="shared" si="5"/>
        <v>13378.750000011707</v>
      </c>
    </row>
    <row r="8" spans="1:9" x14ac:dyDescent="0.25">
      <c r="A8" s="3">
        <v>5</v>
      </c>
      <c r="B8" s="10">
        <f t="shared" si="0"/>
        <v>724.72950000000026</v>
      </c>
      <c r="C8" s="11">
        <f t="shared" si="1"/>
        <v>25082.109374983953</v>
      </c>
      <c r="D8" s="11">
        <f t="shared" si="2"/>
        <v>4400</v>
      </c>
      <c r="E8" s="11">
        <f t="shared" si="3"/>
        <v>29482.109374983953</v>
      </c>
      <c r="F8" s="11">
        <f t="shared" si="6"/>
        <v>7660.8593749956599</v>
      </c>
      <c r="G8" s="11">
        <f t="shared" si="4"/>
        <v>44000</v>
      </c>
      <c r="H8" s="11">
        <f t="shared" si="7"/>
        <v>8800</v>
      </c>
      <c r="I8" s="11">
        <f t="shared" si="5"/>
        <v>14517.890625016047</v>
      </c>
    </row>
    <row r="9" spans="1:9" x14ac:dyDescent="0.25">
      <c r="A9" s="3">
        <v>6</v>
      </c>
      <c r="B9" s="10">
        <f t="shared" si="0"/>
        <v>956.64294000000041</v>
      </c>
      <c r="C9" s="11">
        <f t="shared" si="1"/>
        <v>29108.384374981379</v>
      </c>
      <c r="D9" s="11">
        <f t="shared" si="2"/>
        <v>5280</v>
      </c>
      <c r="E9" s="11">
        <f t="shared" si="3"/>
        <v>34388.384374981382</v>
      </c>
      <c r="F9" s="11">
        <f t="shared" si="6"/>
        <v>4906.2749999974294</v>
      </c>
      <c r="G9" s="11">
        <f t="shared" si="4"/>
        <v>52800</v>
      </c>
      <c r="H9" s="11">
        <f t="shared" si="7"/>
        <v>8800</v>
      </c>
      <c r="I9" s="11">
        <f t="shared" si="5"/>
        <v>18411.615625018618</v>
      </c>
    </row>
    <row r="10" spans="1:9" x14ac:dyDescent="0.25">
      <c r="A10" s="3">
        <v>7</v>
      </c>
      <c r="B10" s="10">
        <f t="shared" si="0"/>
        <v>1227.6917730000007</v>
      </c>
      <c r="C10" s="11">
        <f t="shared" si="1"/>
        <v>33814.093281228372</v>
      </c>
      <c r="D10" s="11">
        <f t="shared" si="2"/>
        <v>6160</v>
      </c>
      <c r="E10" s="11">
        <f t="shared" si="3"/>
        <v>39974.093281228372</v>
      </c>
      <c r="F10" s="11">
        <f t="shared" si="6"/>
        <v>5585.7089062469895</v>
      </c>
      <c r="G10" s="11">
        <f t="shared" si="4"/>
        <v>61600</v>
      </c>
      <c r="H10" s="11">
        <f t="shared" si="7"/>
        <v>8800</v>
      </c>
      <c r="I10" s="11">
        <f t="shared" si="5"/>
        <v>21625.906718771628</v>
      </c>
    </row>
    <row r="11" spans="1:9" x14ac:dyDescent="0.25">
      <c r="A11" s="3">
        <v>8</v>
      </c>
      <c r="B11" s="10">
        <f t="shared" si="0"/>
        <v>1543.3839432000009</v>
      </c>
      <c r="C11" s="11">
        <f t="shared" si="1"/>
        <v>39294.860124974868</v>
      </c>
      <c r="D11" s="11">
        <f t="shared" si="2"/>
        <v>7040</v>
      </c>
      <c r="E11" s="11">
        <f t="shared" si="3"/>
        <v>46334.860124974868</v>
      </c>
      <c r="F11" s="11">
        <f t="shared" si="6"/>
        <v>6360.7668437464963</v>
      </c>
      <c r="G11" s="11">
        <f t="shared" si="4"/>
        <v>70400</v>
      </c>
      <c r="H11" s="11">
        <f t="shared" si="7"/>
        <v>8800</v>
      </c>
      <c r="I11" s="11">
        <f t="shared" si="5"/>
        <v>24065.139875025132</v>
      </c>
    </row>
    <row r="12" spans="1:9" x14ac:dyDescent="0.25">
      <c r="A12" s="3">
        <v>9</v>
      </c>
      <c r="B12" s="10">
        <f t="shared" si="0"/>
        <v>1909.9376297100011</v>
      </c>
      <c r="C12" s="11">
        <f t="shared" si="1"/>
        <v>45658.639404658301</v>
      </c>
      <c r="D12" s="11">
        <f t="shared" si="2"/>
        <v>7920</v>
      </c>
      <c r="E12" s="11">
        <f t="shared" si="3"/>
        <v>53578.639404658301</v>
      </c>
      <c r="F12" s="11">
        <f t="shared" si="6"/>
        <v>7243.7792796834328</v>
      </c>
      <c r="G12" s="11">
        <f t="shared" si="4"/>
        <v>79200</v>
      </c>
      <c r="H12" s="11">
        <f t="shared" si="7"/>
        <v>8800</v>
      </c>
      <c r="I12" s="11">
        <f t="shared" si="5"/>
        <v>25621.360595341699</v>
      </c>
    </row>
    <row r="13" spans="1:9" x14ac:dyDescent="0.25">
      <c r="A13" s="3">
        <v>10</v>
      </c>
      <c r="B13" s="10">
        <f t="shared" si="0"/>
        <v>2334.3682140900019</v>
      </c>
      <c r="C13" s="11">
        <f t="shared" si="1"/>
        <v>53027.225939028598</v>
      </c>
      <c r="D13" s="11">
        <f t="shared" si="2"/>
        <v>8800</v>
      </c>
      <c r="E13" s="11">
        <f t="shared" si="3"/>
        <v>61827.225939028598</v>
      </c>
      <c r="F13" s="11">
        <f t="shared" si="6"/>
        <v>8248.5865343702972</v>
      </c>
      <c r="G13" s="11">
        <f t="shared" si="4"/>
        <v>88000</v>
      </c>
      <c r="H13" s="11">
        <f t="shared" si="7"/>
        <v>8800</v>
      </c>
      <c r="I13" s="11">
        <f t="shared" si="5"/>
        <v>26172.774060971402</v>
      </c>
    </row>
    <row r="14" spans="1:9" x14ac:dyDescent="0.25">
      <c r="A14" s="3">
        <v>11</v>
      </c>
      <c r="B14" s="10">
        <f t="shared" si="0"/>
        <v>2824.5855390489023</v>
      </c>
      <c r="C14" s="11">
        <f t="shared" si="1"/>
        <v>61537.943386226281</v>
      </c>
      <c r="D14" s="11">
        <f t="shared" si="2"/>
        <v>9680</v>
      </c>
      <c r="E14" s="11">
        <f t="shared" si="3"/>
        <v>71217.943386226281</v>
      </c>
      <c r="F14" s="11">
        <f t="shared" si="6"/>
        <v>9390.7174471976832</v>
      </c>
      <c r="G14" s="11">
        <f t="shared" si="4"/>
        <v>96800</v>
      </c>
      <c r="H14" s="11">
        <f t="shared" si="7"/>
        <v>8800</v>
      </c>
      <c r="I14" s="11">
        <f t="shared" si="5"/>
        <v>25582.056613773719</v>
      </c>
    </row>
    <row r="15" spans="1:9" x14ac:dyDescent="0.25">
      <c r="A15" s="3">
        <v>12</v>
      </c>
      <c r="B15" s="10">
        <f t="shared" si="0"/>
        <v>3389.502646858683</v>
      </c>
      <c r="C15" s="11">
        <f t="shared" si="1"/>
        <v>71345.532063473147</v>
      </c>
      <c r="D15" s="11">
        <f t="shared" si="2"/>
        <v>10560</v>
      </c>
      <c r="E15" s="11">
        <f t="shared" si="3"/>
        <v>81905.532063473147</v>
      </c>
      <c r="F15" s="11">
        <f t="shared" si="6"/>
        <v>10687.588677246866</v>
      </c>
      <c r="G15" s="11">
        <f t="shared" si="4"/>
        <v>105600</v>
      </c>
      <c r="H15" s="11">
        <f t="shared" si="7"/>
        <v>8800</v>
      </c>
      <c r="I15" s="11">
        <f t="shared" si="5"/>
        <v>23694.467936526853</v>
      </c>
    </row>
    <row r="16" spans="1:9" x14ac:dyDescent="0.25">
      <c r="A16" s="3">
        <v>13</v>
      </c>
      <c r="B16" s="10">
        <f t="shared" si="0"/>
        <v>4039.1573208399304</v>
      </c>
      <c r="C16" s="11">
        <f t="shared" si="1"/>
        <v>82624.259042307036</v>
      </c>
      <c r="D16" s="11">
        <f t="shared" si="2"/>
        <v>11440</v>
      </c>
      <c r="E16" s="11">
        <f t="shared" si="3"/>
        <v>94064.259042307036</v>
      </c>
      <c r="F16" s="11">
        <f t="shared" si="6"/>
        <v>12158.726978833889</v>
      </c>
      <c r="G16" s="11">
        <f t="shared" si="4"/>
        <v>114400</v>
      </c>
      <c r="H16" s="11">
        <f t="shared" si="7"/>
        <v>8800</v>
      </c>
      <c r="I16" s="11">
        <f t="shared" si="5"/>
        <v>20335.740957692964</v>
      </c>
    </row>
    <row r="17" spans="1:9" x14ac:dyDescent="0.25">
      <c r="A17" s="3">
        <v>14</v>
      </c>
      <c r="B17" s="10">
        <f t="shared" si="0"/>
        <v>4784.8479031488414</v>
      </c>
      <c r="C17" s="11">
        <f t="shared" si="1"/>
        <v>95570.276096272893</v>
      </c>
      <c r="D17" s="11">
        <f t="shared" si="2"/>
        <v>12320</v>
      </c>
      <c r="E17" s="11">
        <f t="shared" si="3"/>
        <v>107890.27609627289</v>
      </c>
      <c r="F17" s="11">
        <f t="shared" si="6"/>
        <v>13826.017053965857</v>
      </c>
      <c r="G17" s="11">
        <f t="shared" si="4"/>
        <v>123200</v>
      </c>
      <c r="H17" s="11">
        <f t="shared" si="7"/>
        <v>8800</v>
      </c>
      <c r="I17" s="11">
        <f t="shared" si="5"/>
        <v>15309.723903727107</v>
      </c>
    </row>
    <row r="18" spans="1:9" x14ac:dyDescent="0.25">
      <c r="A18" s="3">
        <v>15</v>
      </c>
      <c r="B18" s="10">
        <f t="shared" si="0"/>
        <v>5639.2850287111351</v>
      </c>
      <c r="C18" s="11">
        <f t="shared" si="1"/>
        <v>110404.25397060878</v>
      </c>
      <c r="D18" s="11">
        <f t="shared" si="2"/>
        <v>13200</v>
      </c>
      <c r="E18" s="11">
        <f t="shared" si="3"/>
        <v>123604.25397060878</v>
      </c>
      <c r="F18" s="11">
        <f t="shared" si="6"/>
        <v>15713.977874335891</v>
      </c>
      <c r="G18" s="11">
        <f t="shared" si="4"/>
        <v>132000</v>
      </c>
      <c r="H18" s="11">
        <f t="shared" si="7"/>
        <v>8800</v>
      </c>
      <c r="I18" s="11">
        <f t="shared" si="5"/>
        <v>8395.7460293912154</v>
      </c>
    </row>
    <row r="19" spans="1:9" x14ac:dyDescent="0.25">
      <c r="A19" s="3">
        <v>16</v>
      </c>
      <c r="B19" s="10">
        <f t="shared" si="0"/>
        <v>6616.761100354398</v>
      </c>
      <c r="C19" s="11">
        <f t="shared" si="1"/>
        <v>127374.32465884901</v>
      </c>
      <c r="D19" s="11">
        <f t="shared" si="2"/>
        <v>14080</v>
      </c>
      <c r="E19" s="11">
        <f t="shared" si="3"/>
        <v>141454.32465884901</v>
      </c>
      <c r="F19" s="11">
        <f t="shared" si="6"/>
        <v>17850.07068824023</v>
      </c>
      <c r="G19" s="11">
        <f t="shared" si="4"/>
        <v>140800</v>
      </c>
      <c r="H19" s="11">
        <f t="shared" si="7"/>
        <v>8800</v>
      </c>
      <c r="I19" s="11">
        <f t="shared" si="5"/>
        <v>-654.32465884901467</v>
      </c>
    </row>
    <row r="20" spans="1:9" x14ac:dyDescent="0.25">
      <c r="A20" s="3">
        <v>17</v>
      </c>
      <c r="B20" s="10">
        <f t="shared" si="0"/>
        <v>7733.3395360392033</v>
      </c>
      <c r="C20" s="11">
        <f t="shared" si="1"/>
        <v>146759.36694503113</v>
      </c>
      <c r="D20" s="11">
        <f t="shared" si="2"/>
        <v>14960</v>
      </c>
      <c r="E20" s="11">
        <f t="shared" si="3"/>
        <v>161719.36694503113</v>
      </c>
      <c r="F20" s="11">
        <f t="shared" si="6"/>
        <v>20265.042286182113</v>
      </c>
      <c r="G20" s="11">
        <f t="shared" si="4"/>
        <v>149600</v>
      </c>
      <c r="H20" s="11">
        <f t="shared" si="7"/>
        <v>8800</v>
      </c>
      <c r="I20" s="11">
        <f t="shared" si="5"/>
        <v>-12119.366945031128</v>
      </c>
    </row>
    <row r="21" spans="1:9" x14ac:dyDescent="0.25">
      <c r="A21" s="3">
        <v>18</v>
      </c>
      <c r="B21" s="10">
        <f t="shared" si="0"/>
        <v>9007.0660478574246</v>
      </c>
      <c r="C21" s="11">
        <f t="shared" si="1"/>
        <v>168872.67444186111</v>
      </c>
      <c r="D21" s="11">
        <f t="shared" si="2"/>
        <v>15840</v>
      </c>
      <c r="E21" s="11">
        <f t="shared" si="3"/>
        <v>184712.67444186111</v>
      </c>
      <c r="F21" s="11">
        <f t="shared" si="6"/>
        <v>22993.307496829977</v>
      </c>
      <c r="G21" s="11">
        <f t="shared" si="4"/>
        <v>158400</v>
      </c>
      <c r="H21" s="11">
        <f t="shared" si="7"/>
        <v>8800</v>
      </c>
      <c r="I21" s="11">
        <f t="shared" si="5"/>
        <v>-26312.674441861105</v>
      </c>
    </row>
    <row r="22" spans="1:9" x14ac:dyDescent="0.25">
      <c r="A22" s="3">
        <v>19</v>
      </c>
      <c r="B22" s="10">
        <f t="shared" si="0"/>
        <v>10458.204466678902</v>
      </c>
      <c r="C22" s="11">
        <f t="shared" si="1"/>
        <v>194066.04976860675</v>
      </c>
      <c r="D22" s="11">
        <f t="shared" si="2"/>
        <v>16720</v>
      </c>
      <c r="E22" s="11">
        <f t="shared" si="3"/>
        <v>210786.04976860675</v>
      </c>
      <c r="F22" s="11">
        <f t="shared" si="6"/>
        <v>26073.375326745649</v>
      </c>
      <c r="G22" s="11">
        <f t="shared" si="4"/>
        <v>167200</v>
      </c>
      <c r="H22" s="11">
        <f t="shared" si="7"/>
        <v>8800</v>
      </c>
      <c r="I22" s="11">
        <f t="shared" si="5"/>
        <v>-43586.049768606754</v>
      </c>
    </row>
    <row r="23" spans="1:9" x14ac:dyDescent="0.25">
      <c r="A23" s="3">
        <v>20</v>
      </c>
      <c r="B23" s="10">
        <f t="shared" si="0"/>
        <v>12109.499908786096</v>
      </c>
      <c r="C23" s="11">
        <f t="shared" si="1"/>
        <v>222734.37341628273</v>
      </c>
      <c r="D23" s="11">
        <f t="shared" si="2"/>
        <v>17600</v>
      </c>
      <c r="E23" s="11">
        <f t="shared" si="3"/>
        <v>240334.37341628273</v>
      </c>
      <c r="F23" s="11">
        <f t="shared" si="6"/>
        <v>29548.323647675978</v>
      </c>
      <c r="G23" s="11">
        <f t="shared" si="4"/>
        <v>176000</v>
      </c>
      <c r="H23" s="11">
        <f t="shared" si="7"/>
        <v>8800</v>
      </c>
      <c r="I23" s="11">
        <f t="shared" si="5"/>
        <v>-64334.373416282731</v>
      </c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6.5" x14ac:dyDescent="0.25">
      <c r="A25" s="30" t="s">
        <v>71</v>
      </c>
      <c r="B25" s="30"/>
      <c r="C25" s="30"/>
      <c r="D25" s="30"/>
      <c r="E25" s="30"/>
      <c r="F25" s="30"/>
      <c r="G25" s="30"/>
      <c r="H25" s="30"/>
      <c r="I25" s="30"/>
    </row>
    <row r="26" spans="1:9" x14ac:dyDescent="0.25">
      <c r="A26" s="2" t="s">
        <v>62</v>
      </c>
      <c r="B26" s="2" t="s">
        <v>63</v>
      </c>
      <c r="C26" s="2" t="s">
        <v>64</v>
      </c>
      <c r="D26" s="2" t="s">
        <v>65</v>
      </c>
      <c r="E26" s="2" t="s">
        <v>66</v>
      </c>
      <c r="F26" s="2" t="s">
        <v>67</v>
      </c>
      <c r="G26" s="2" t="s">
        <v>68</v>
      </c>
      <c r="H26" s="2" t="s">
        <v>69</v>
      </c>
      <c r="I26" s="2" t="s">
        <v>70</v>
      </c>
    </row>
    <row r="27" spans="1:9" x14ac:dyDescent="0.25">
      <c r="A27" s="3">
        <v>0</v>
      </c>
      <c r="B27" s="10">
        <f t="shared" ref="B27:B47" si="8">A27*CAR_HRS*SEASON_WEEKS*(1+CAR_DIM_PCT)^A27</f>
        <v>0</v>
      </c>
      <c r="C27" s="11">
        <f t="shared" ref="C27:C47" si="9">MIN(B27,FARMER_HOURS)*FARMER_RATE+MAX(0,B27-FARMER_HOURS)*TEMP_RATE</f>
        <v>0</v>
      </c>
      <c r="D27" s="11">
        <f t="shared" ref="D27:D47" si="10">A27*CAR_FERT_COST</f>
        <v>0</v>
      </c>
      <c r="E27" s="11">
        <f t="shared" ref="E27:E47" si="11">C27+D27</f>
        <v>0</v>
      </c>
      <c r="F27" s="11"/>
      <c r="G27" s="11">
        <f t="shared" ref="G27:G47" si="12">A27*CAR_PRICE</f>
        <v>0</v>
      </c>
      <c r="H27" s="11"/>
      <c r="I27" s="11">
        <f t="shared" ref="I27:I47" si="13">G27-E27</f>
        <v>0</v>
      </c>
    </row>
    <row r="28" spans="1:9" x14ac:dyDescent="0.25">
      <c r="A28" s="3">
        <v>1</v>
      </c>
      <c r="B28" s="10">
        <f t="shared" si="8"/>
        <v>30.749999999999986</v>
      </c>
      <c r="C28" s="11">
        <f t="shared" si="9"/>
        <v>1067.7083333326495</v>
      </c>
      <c r="D28" s="11">
        <f t="shared" si="10"/>
        <v>440</v>
      </c>
      <c r="E28" s="11">
        <f t="shared" si="11"/>
        <v>1507.7083333326495</v>
      </c>
      <c r="F28" s="11">
        <f t="shared" ref="F28:F47" si="14">E28-E27</f>
        <v>1507.7083333326495</v>
      </c>
      <c r="G28" s="11">
        <f t="shared" si="12"/>
        <v>2094</v>
      </c>
      <c r="H28" s="11">
        <f t="shared" ref="H28:H47" si="15">G28-G27</f>
        <v>2094</v>
      </c>
      <c r="I28" s="11">
        <f t="shared" si="13"/>
        <v>586.29166666735046</v>
      </c>
    </row>
    <row r="29" spans="1:9" x14ac:dyDescent="0.25">
      <c r="A29" s="3">
        <v>2</v>
      </c>
      <c r="B29" s="10">
        <f t="shared" si="8"/>
        <v>63.037499999999973</v>
      </c>
      <c r="C29" s="11">
        <f t="shared" si="9"/>
        <v>2188.802083331932</v>
      </c>
      <c r="D29" s="11">
        <f t="shared" si="10"/>
        <v>880</v>
      </c>
      <c r="E29" s="11">
        <f t="shared" si="11"/>
        <v>3068.802083331932</v>
      </c>
      <c r="F29" s="11">
        <f t="shared" si="14"/>
        <v>1561.0937499992824</v>
      </c>
      <c r="G29" s="11">
        <f t="shared" si="12"/>
        <v>4188</v>
      </c>
      <c r="H29" s="11">
        <f t="shared" si="15"/>
        <v>2094</v>
      </c>
      <c r="I29" s="11">
        <f t="shared" si="13"/>
        <v>1119.197916668068</v>
      </c>
    </row>
    <row r="30" spans="1:9" x14ac:dyDescent="0.25">
      <c r="A30" s="3">
        <v>3</v>
      </c>
      <c r="B30" s="10">
        <f t="shared" si="8"/>
        <v>96.920156249999962</v>
      </c>
      <c r="C30" s="11">
        <f t="shared" si="9"/>
        <v>3365.2832031228454</v>
      </c>
      <c r="D30" s="11">
        <f t="shared" si="10"/>
        <v>1320</v>
      </c>
      <c r="E30" s="11">
        <f t="shared" si="11"/>
        <v>4685.2832031228454</v>
      </c>
      <c r="F30" s="11">
        <f t="shared" si="14"/>
        <v>1616.4811197909135</v>
      </c>
      <c r="G30" s="11">
        <f t="shared" si="12"/>
        <v>6282</v>
      </c>
      <c r="H30" s="11">
        <f t="shared" si="15"/>
        <v>2094</v>
      </c>
      <c r="I30" s="11">
        <f t="shared" si="13"/>
        <v>1596.7167968771546</v>
      </c>
    </row>
    <row r="31" spans="1:9" x14ac:dyDescent="0.25">
      <c r="A31" s="3">
        <v>4</v>
      </c>
      <c r="B31" s="10">
        <f t="shared" si="8"/>
        <v>132.45754687499993</v>
      </c>
      <c r="C31" s="11">
        <f t="shared" si="9"/>
        <v>4599.2203776012211</v>
      </c>
      <c r="D31" s="11">
        <f t="shared" si="10"/>
        <v>1760</v>
      </c>
      <c r="E31" s="11">
        <f t="shared" si="11"/>
        <v>6359.2203776012211</v>
      </c>
      <c r="F31" s="11">
        <f t="shared" si="14"/>
        <v>1673.9371744783757</v>
      </c>
      <c r="G31" s="11">
        <f t="shared" si="12"/>
        <v>8376</v>
      </c>
      <c r="H31" s="11">
        <f t="shared" si="15"/>
        <v>2094</v>
      </c>
      <c r="I31" s="11">
        <f t="shared" si="13"/>
        <v>2016.7796223987789</v>
      </c>
    </row>
    <row r="32" spans="1:9" x14ac:dyDescent="0.25">
      <c r="A32" s="3">
        <v>5</v>
      </c>
      <c r="B32" s="10">
        <f t="shared" si="8"/>
        <v>169.71123193359364</v>
      </c>
      <c r="C32" s="11">
        <f t="shared" si="9"/>
        <v>5892.7511088015635</v>
      </c>
      <c r="D32" s="11">
        <f t="shared" si="10"/>
        <v>2200</v>
      </c>
      <c r="E32" s="11">
        <f t="shared" si="11"/>
        <v>8092.7511088015635</v>
      </c>
      <c r="F32" s="11">
        <f t="shared" si="14"/>
        <v>1733.5307312003424</v>
      </c>
      <c r="G32" s="11">
        <f t="shared" si="12"/>
        <v>10470</v>
      </c>
      <c r="H32" s="11">
        <f t="shared" si="15"/>
        <v>2094</v>
      </c>
      <c r="I32" s="11">
        <f t="shared" si="13"/>
        <v>2377.2488911984365</v>
      </c>
    </row>
    <row r="33" spans="1:9" x14ac:dyDescent="0.25">
      <c r="A33" s="3">
        <v>6</v>
      </c>
      <c r="B33" s="10">
        <f t="shared" si="8"/>
        <v>208.74481527832017</v>
      </c>
      <c r="C33" s="11">
        <f t="shared" si="9"/>
        <v>7248.0838638259238</v>
      </c>
      <c r="D33" s="11">
        <f t="shared" si="10"/>
        <v>2640</v>
      </c>
      <c r="E33" s="11">
        <f t="shared" si="11"/>
        <v>9888.0838638259229</v>
      </c>
      <c r="F33" s="11">
        <f t="shared" si="14"/>
        <v>1795.3327550243594</v>
      </c>
      <c r="G33" s="11">
        <f t="shared" si="12"/>
        <v>12564</v>
      </c>
      <c r="H33" s="11">
        <f t="shared" si="15"/>
        <v>2094</v>
      </c>
      <c r="I33" s="11">
        <f t="shared" si="13"/>
        <v>2675.9161361740771</v>
      </c>
    </row>
    <row r="34" spans="1:9" x14ac:dyDescent="0.25">
      <c r="A34" s="3">
        <v>7</v>
      </c>
      <c r="B34" s="10">
        <f t="shared" si="8"/>
        <v>249.62400827032451</v>
      </c>
      <c r="C34" s="11">
        <f t="shared" si="9"/>
        <v>8667.5002871584984</v>
      </c>
      <c r="D34" s="11">
        <f t="shared" si="10"/>
        <v>3080</v>
      </c>
      <c r="E34" s="11">
        <f t="shared" si="11"/>
        <v>11747.500287158498</v>
      </c>
      <c r="F34" s="11">
        <f t="shared" si="14"/>
        <v>1859.4164233325755</v>
      </c>
      <c r="G34" s="11">
        <f t="shared" si="12"/>
        <v>14658</v>
      </c>
      <c r="H34" s="11">
        <f t="shared" si="15"/>
        <v>2094</v>
      </c>
      <c r="I34" s="11">
        <f t="shared" si="13"/>
        <v>2910.4997128415016</v>
      </c>
    </row>
    <row r="35" spans="1:9" x14ac:dyDescent="0.25">
      <c r="A35" s="3">
        <v>8</v>
      </c>
      <c r="B35" s="10">
        <f t="shared" si="8"/>
        <v>292.41669540238013</v>
      </c>
      <c r="C35" s="11">
        <f t="shared" si="9"/>
        <v>10153.357479242813</v>
      </c>
      <c r="D35" s="11">
        <f t="shared" si="10"/>
        <v>3520</v>
      </c>
      <c r="E35" s="11">
        <f t="shared" si="11"/>
        <v>13673.357479242813</v>
      </c>
      <c r="F35" s="11">
        <f t="shared" si="14"/>
        <v>1925.8571920843151</v>
      </c>
      <c r="G35" s="11">
        <f t="shared" si="12"/>
        <v>16752</v>
      </c>
      <c r="H35" s="11">
        <f t="shared" si="15"/>
        <v>2094</v>
      </c>
      <c r="I35" s="11">
        <f t="shared" si="13"/>
        <v>3078.6425207571865</v>
      </c>
    </row>
    <row r="36" spans="1:9" x14ac:dyDescent="0.25">
      <c r="A36" s="3">
        <v>9</v>
      </c>
      <c r="B36" s="10">
        <f t="shared" si="8"/>
        <v>337.19300188586953</v>
      </c>
      <c r="C36" s="11">
        <f t="shared" si="9"/>
        <v>11708.090343251866</v>
      </c>
      <c r="D36" s="11">
        <f t="shared" si="10"/>
        <v>3960</v>
      </c>
      <c r="E36" s="11">
        <f t="shared" si="11"/>
        <v>15668.090343251866</v>
      </c>
      <c r="F36" s="11">
        <f t="shared" si="14"/>
        <v>1994.7328640090527</v>
      </c>
      <c r="G36" s="11">
        <f t="shared" si="12"/>
        <v>18846</v>
      </c>
      <c r="H36" s="11">
        <f t="shared" si="15"/>
        <v>2094</v>
      </c>
      <c r="I36" s="11">
        <f t="shared" si="13"/>
        <v>3177.9096567481338</v>
      </c>
    </row>
    <row r="37" spans="1:9" x14ac:dyDescent="0.25">
      <c r="A37" s="3">
        <v>10</v>
      </c>
      <c r="B37" s="10">
        <f t="shared" si="8"/>
        <v>384.02536325890696</v>
      </c>
      <c r="C37" s="11">
        <f t="shared" si="9"/>
        <v>13334.214002036848</v>
      </c>
      <c r="D37" s="11">
        <f t="shared" si="10"/>
        <v>4400</v>
      </c>
      <c r="E37" s="11">
        <f t="shared" si="11"/>
        <v>17734.214002036846</v>
      </c>
      <c r="F37" s="11">
        <f t="shared" si="14"/>
        <v>2066.1236587849799</v>
      </c>
      <c r="G37" s="11">
        <f t="shared" si="12"/>
        <v>20940</v>
      </c>
      <c r="H37" s="11">
        <f t="shared" si="15"/>
        <v>2094</v>
      </c>
      <c r="I37" s="11">
        <f t="shared" si="13"/>
        <v>3205.7859979631539</v>
      </c>
    </row>
    <row r="38" spans="1:9" x14ac:dyDescent="0.25">
      <c r="A38" s="3">
        <v>11</v>
      </c>
      <c r="B38" s="10">
        <f t="shared" si="8"/>
        <v>432.98859707441761</v>
      </c>
      <c r="C38" s="11">
        <f t="shared" si="9"/>
        <v>15034.326287296546</v>
      </c>
      <c r="D38" s="11">
        <f t="shared" si="10"/>
        <v>4840</v>
      </c>
      <c r="E38" s="11">
        <f t="shared" si="11"/>
        <v>19874.326287296546</v>
      </c>
      <c r="F38" s="11">
        <f t="shared" si="14"/>
        <v>2140.1122852597</v>
      </c>
      <c r="G38" s="11">
        <f t="shared" si="12"/>
        <v>23034</v>
      </c>
      <c r="H38" s="11">
        <f t="shared" si="15"/>
        <v>2094</v>
      </c>
      <c r="I38" s="11">
        <f t="shared" si="13"/>
        <v>3159.6737127034539</v>
      </c>
    </row>
    <row r="39" spans="1:9" x14ac:dyDescent="0.25">
      <c r="A39" s="3">
        <v>12</v>
      </c>
      <c r="B39" s="10">
        <f t="shared" si="8"/>
        <v>484.15997672866695</v>
      </c>
      <c r="C39" s="11">
        <f t="shared" si="9"/>
        <v>16811.110303067955</v>
      </c>
      <c r="D39" s="11">
        <f t="shared" si="10"/>
        <v>5280</v>
      </c>
      <c r="E39" s="11">
        <f t="shared" si="11"/>
        <v>22091.110303067955</v>
      </c>
      <c r="F39" s="11">
        <f t="shared" si="14"/>
        <v>2216.784015771409</v>
      </c>
      <c r="G39" s="11">
        <f t="shared" si="12"/>
        <v>25128</v>
      </c>
      <c r="H39" s="11">
        <f t="shared" si="15"/>
        <v>2094</v>
      </c>
      <c r="I39" s="11">
        <f t="shared" si="13"/>
        <v>3036.8896969320449</v>
      </c>
    </row>
    <row r="40" spans="1:9" x14ac:dyDescent="0.25">
      <c r="A40" s="3">
        <v>13</v>
      </c>
      <c r="B40" s="10">
        <f t="shared" si="8"/>
        <v>537.61930749245721</v>
      </c>
      <c r="C40" s="11">
        <f t="shared" si="9"/>
        <v>18667.337065698375</v>
      </c>
      <c r="D40" s="11">
        <f t="shared" si="10"/>
        <v>5720</v>
      </c>
      <c r="E40" s="11">
        <f t="shared" si="11"/>
        <v>24387.337065698375</v>
      </c>
      <c r="F40" s="11">
        <f t="shared" si="14"/>
        <v>2296.2267626304201</v>
      </c>
      <c r="G40" s="11">
        <f t="shared" si="12"/>
        <v>27222</v>
      </c>
      <c r="H40" s="11">
        <f t="shared" si="15"/>
        <v>2094</v>
      </c>
      <c r="I40" s="11">
        <f t="shared" si="13"/>
        <v>2834.6629343016248</v>
      </c>
    </row>
    <row r="41" spans="1:9" x14ac:dyDescent="0.25">
      <c r="A41" s="3">
        <v>14</v>
      </c>
      <c r="B41" s="10">
        <f t="shared" si="8"/>
        <v>593.4490048089815</v>
      </c>
      <c r="C41" s="11">
        <f t="shared" si="9"/>
        <v>20605.868222520894</v>
      </c>
      <c r="D41" s="11">
        <f t="shared" si="10"/>
        <v>6160</v>
      </c>
      <c r="E41" s="11">
        <f t="shared" si="11"/>
        <v>26765.868222520894</v>
      </c>
      <c r="F41" s="11">
        <f t="shared" si="14"/>
        <v>2378.5311568225188</v>
      </c>
      <c r="G41" s="11">
        <f t="shared" si="12"/>
        <v>29316</v>
      </c>
      <c r="H41" s="11">
        <f t="shared" si="15"/>
        <v>2094</v>
      </c>
      <c r="I41" s="11">
        <f t="shared" si="13"/>
        <v>2550.1317774791059</v>
      </c>
    </row>
    <row r="42" spans="1:9" x14ac:dyDescent="0.25">
      <c r="A42" s="3">
        <v>15</v>
      </c>
      <c r="B42" s="10">
        <f t="shared" si="8"/>
        <v>651.73417492414956</v>
      </c>
      <c r="C42" s="11">
        <f t="shared" si="9"/>
        <v>22629.658851518489</v>
      </c>
      <c r="D42" s="11">
        <f t="shared" si="10"/>
        <v>6600</v>
      </c>
      <c r="E42" s="11">
        <f t="shared" si="11"/>
        <v>29229.658851518489</v>
      </c>
      <c r="F42" s="11">
        <f t="shared" si="14"/>
        <v>2463.7906289975945</v>
      </c>
      <c r="G42" s="11">
        <f t="shared" si="12"/>
        <v>31410</v>
      </c>
      <c r="H42" s="11">
        <f t="shared" si="15"/>
        <v>2094</v>
      </c>
      <c r="I42" s="11">
        <f t="shared" si="13"/>
        <v>2180.3411484815115</v>
      </c>
    </row>
    <row r="43" spans="1:9" x14ac:dyDescent="0.25">
      <c r="A43" s="3">
        <v>16</v>
      </c>
      <c r="B43" s="10">
        <f t="shared" si="8"/>
        <v>712.56269791707007</v>
      </c>
      <c r="C43" s="11">
        <f t="shared" si="9"/>
        <v>24741.760344326878</v>
      </c>
      <c r="D43" s="11">
        <f t="shared" si="10"/>
        <v>7040</v>
      </c>
      <c r="E43" s="11">
        <f t="shared" si="11"/>
        <v>31781.760344326878</v>
      </c>
      <c r="F43" s="11">
        <f t="shared" si="14"/>
        <v>2552.1014928083896</v>
      </c>
      <c r="G43" s="11">
        <f t="shared" si="12"/>
        <v>33504</v>
      </c>
      <c r="H43" s="11">
        <f t="shared" si="15"/>
        <v>2094</v>
      </c>
      <c r="I43" s="11">
        <f t="shared" si="13"/>
        <v>1722.2396556731219</v>
      </c>
    </row>
    <row r="44" spans="1:9" x14ac:dyDescent="0.25">
      <c r="A44" s="3">
        <v>17</v>
      </c>
      <c r="B44" s="10">
        <f t="shared" si="8"/>
        <v>776.02531320030891</v>
      </c>
      <c r="C44" s="11">
        <f t="shared" si="9"/>
        <v>25972.66168748874</v>
      </c>
      <c r="D44" s="11">
        <f t="shared" si="10"/>
        <v>7480</v>
      </c>
      <c r="E44" s="11">
        <f t="shared" si="11"/>
        <v>33452.66168748874</v>
      </c>
      <c r="F44" s="11">
        <f t="shared" si="14"/>
        <v>1670.9013431618623</v>
      </c>
      <c r="G44" s="11">
        <f t="shared" si="12"/>
        <v>35598</v>
      </c>
      <c r="H44" s="11">
        <f t="shared" si="15"/>
        <v>2094</v>
      </c>
      <c r="I44" s="11">
        <f t="shared" si="13"/>
        <v>2145.3383125112596</v>
      </c>
    </row>
    <row r="45" spans="1:9" x14ac:dyDescent="0.25">
      <c r="A45" s="3">
        <v>18</v>
      </c>
      <c r="B45" s="10">
        <f t="shared" si="8"/>
        <v>842.21570756151175</v>
      </c>
      <c r="C45" s="11">
        <f t="shared" si="9"/>
        <v>27121.800478481109</v>
      </c>
      <c r="D45" s="11">
        <f t="shared" si="10"/>
        <v>7920</v>
      </c>
      <c r="E45" s="11">
        <f t="shared" si="11"/>
        <v>35041.800478481106</v>
      </c>
      <c r="F45" s="11">
        <f t="shared" si="14"/>
        <v>1589.1387909923651</v>
      </c>
      <c r="G45" s="11">
        <f t="shared" si="12"/>
        <v>37692</v>
      </c>
      <c r="H45" s="11">
        <f t="shared" si="15"/>
        <v>2094</v>
      </c>
      <c r="I45" s="11">
        <f t="shared" si="13"/>
        <v>2650.1995215188945</v>
      </c>
    </row>
    <row r="46" spans="1:9" x14ac:dyDescent="0.25">
      <c r="A46" s="3">
        <v>19</v>
      </c>
      <c r="B46" s="10">
        <f t="shared" si="8"/>
        <v>911.23060582002461</v>
      </c>
      <c r="C46" s="11">
        <f t="shared" si="9"/>
        <v>28319.975795468414</v>
      </c>
      <c r="D46" s="11">
        <f t="shared" si="10"/>
        <v>8360</v>
      </c>
      <c r="E46" s="11">
        <f t="shared" si="11"/>
        <v>36679.975795468417</v>
      </c>
      <c r="F46" s="11">
        <f t="shared" si="14"/>
        <v>1638.1753169873118</v>
      </c>
      <c r="G46" s="11">
        <f t="shared" si="12"/>
        <v>39786</v>
      </c>
      <c r="H46" s="11">
        <f t="shared" si="15"/>
        <v>2094</v>
      </c>
      <c r="I46" s="11">
        <f t="shared" si="13"/>
        <v>3106.0242045315827</v>
      </c>
    </row>
    <row r="47" spans="1:9" x14ac:dyDescent="0.25">
      <c r="A47" s="3">
        <v>20</v>
      </c>
      <c r="B47" s="10">
        <f t="shared" si="8"/>
        <v>983.16986417423698</v>
      </c>
      <c r="C47" s="11">
        <f t="shared" si="9"/>
        <v>29568.921253006025</v>
      </c>
      <c r="D47" s="11">
        <f t="shared" si="10"/>
        <v>8800</v>
      </c>
      <c r="E47" s="11">
        <f t="shared" si="11"/>
        <v>38368.921253006025</v>
      </c>
      <c r="F47" s="11">
        <f t="shared" si="14"/>
        <v>1688.9454575376076</v>
      </c>
      <c r="G47" s="11">
        <f t="shared" si="12"/>
        <v>41880</v>
      </c>
      <c r="H47" s="11">
        <f t="shared" si="15"/>
        <v>2094</v>
      </c>
      <c r="I47" s="11">
        <f t="shared" si="13"/>
        <v>3511.0787469939751</v>
      </c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6.5" x14ac:dyDescent="0.25">
      <c r="A49" s="30" t="s">
        <v>72</v>
      </c>
      <c r="B49" s="30"/>
      <c r="C49" s="30"/>
      <c r="D49" s="30"/>
      <c r="E49" s="30"/>
      <c r="F49" s="30"/>
      <c r="G49" s="30"/>
      <c r="H49" s="30"/>
      <c r="I49" s="30"/>
    </row>
    <row r="50" spans="1:9" x14ac:dyDescent="0.25">
      <c r="A50" s="2" t="s">
        <v>62</v>
      </c>
      <c r="B50" s="2" t="s">
        <v>63</v>
      </c>
      <c r="C50" s="2" t="s">
        <v>64</v>
      </c>
      <c r="D50" s="2" t="s">
        <v>65</v>
      </c>
      <c r="E50" s="2" t="s">
        <v>66</v>
      </c>
      <c r="F50" s="2" t="s">
        <v>67</v>
      </c>
      <c r="G50" s="2" t="s">
        <v>68</v>
      </c>
      <c r="H50" s="2" t="s">
        <v>69</v>
      </c>
      <c r="I50" s="2" t="s">
        <v>70</v>
      </c>
    </row>
    <row r="51" spans="1:9" x14ac:dyDescent="0.25">
      <c r="A51" s="3">
        <v>0</v>
      </c>
      <c r="B51" s="10">
        <f t="shared" ref="B51:B81" si="16">A51*MES_HRS*SEASON_WEEKS*(1+MES_DIM_PCT)^A51</f>
        <v>0</v>
      </c>
      <c r="C51" s="11">
        <f t="shared" ref="C51:C81" si="17">MIN(B51,FARMER_HOURS)*FARMER_RATE+MAX(0,B51-FARMER_HOURS)*TEMP_RATE</f>
        <v>0</v>
      </c>
      <c r="D51" s="11">
        <f t="shared" ref="D51:D81" si="18">A51*MES_FERT_COST</f>
        <v>0</v>
      </c>
      <c r="E51" s="11">
        <f t="shared" ref="E51:E81" si="19">C51+D51</f>
        <v>0</v>
      </c>
      <c r="F51" s="11"/>
      <c r="G51" s="11">
        <f t="shared" ref="G51:G81" si="20">A51*MES_PRICE</f>
        <v>0</v>
      </c>
      <c r="H51" s="11"/>
      <c r="I51" s="11">
        <f t="shared" ref="I51:I81" si="21">G51-E51</f>
        <v>0</v>
      </c>
    </row>
    <row r="52" spans="1:9" x14ac:dyDescent="0.25">
      <c r="A52" s="3">
        <v>1</v>
      </c>
      <c r="B52" s="10">
        <f t="shared" si="16"/>
        <v>45.5625</v>
      </c>
      <c r="C52" s="11">
        <f t="shared" si="17"/>
        <v>1582.0312499989877</v>
      </c>
      <c r="D52" s="11">
        <f t="shared" si="18"/>
        <v>880</v>
      </c>
      <c r="E52" s="11">
        <f t="shared" si="19"/>
        <v>2462.0312499989877</v>
      </c>
      <c r="F52" s="11">
        <f t="shared" ref="F52:F81" si="22">E52-E51</f>
        <v>2462.0312499989877</v>
      </c>
      <c r="G52" s="11">
        <f t="shared" si="20"/>
        <v>2700</v>
      </c>
      <c r="H52" s="11">
        <f t="shared" ref="H52:H81" si="23">G52-G51</f>
        <v>2700</v>
      </c>
      <c r="I52" s="11">
        <f t="shared" si="21"/>
        <v>237.96875000101227</v>
      </c>
    </row>
    <row r="53" spans="1:9" x14ac:dyDescent="0.25">
      <c r="A53" s="3">
        <v>2</v>
      </c>
      <c r="B53" s="10">
        <f t="shared" si="16"/>
        <v>92.264062499999994</v>
      </c>
      <c r="C53" s="11">
        <f t="shared" si="17"/>
        <v>3203.6132812479495</v>
      </c>
      <c r="D53" s="11">
        <f t="shared" si="18"/>
        <v>1760</v>
      </c>
      <c r="E53" s="11">
        <f t="shared" si="19"/>
        <v>4963.61328124795</v>
      </c>
      <c r="F53" s="11">
        <f t="shared" si="22"/>
        <v>2501.5820312489623</v>
      </c>
      <c r="G53" s="11">
        <f t="shared" si="20"/>
        <v>5400</v>
      </c>
      <c r="H53" s="11">
        <f t="shared" si="23"/>
        <v>2700</v>
      </c>
      <c r="I53" s="11">
        <f t="shared" si="21"/>
        <v>436.38671875205</v>
      </c>
    </row>
    <row r="54" spans="1:9" x14ac:dyDescent="0.25">
      <c r="A54" s="3">
        <v>3</v>
      </c>
      <c r="B54" s="10">
        <f t="shared" si="16"/>
        <v>140.12604492187498</v>
      </c>
      <c r="C54" s="11">
        <f t="shared" si="17"/>
        <v>4865.4876708953234</v>
      </c>
      <c r="D54" s="11">
        <f t="shared" si="18"/>
        <v>2640</v>
      </c>
      <c r="E54" s="11">
        <f t="shared" si="19"/>
        <v>7505.4876708953234</v>
      </c>
      <c r="F54" s="11">
        <f t="shared" si="22"/>
        <v>2541.8743896473734</v>
      </c>
      <c r="G54" s="11">
        <f t="shared" si="20"/>
        <v>8100</v>
      </c>
      <c r="H54" s="11">
        <f t="shared" si="23"/>
        <v>2700</v>
      </c>
      <c r="I54" s="11">
        <f t="shared" si="21"/>
        <v>594.51232910467661</v>
      </c>
    </row>
    <row r="55" spans="1:9" x14ac:dyDescent="0.25">
      <c r="A55" s="3">
        <v>4</v>
      </c>
      <c r="B55" s="10">
        <f t="shared" si="16"/>
        <v>189.17016064453125</v>
      </c>
      <c r="C55" s="11">
        <f t="shared" si="17"/>
        <v>6568.4083557086869</v>
      </c>
      <c r="D55" s="11">
        <f t="shared" si="18"/>
        <v>3520</v>
      </c>
      <c r="E55" s="11">
        <f t="shared" si="19"/>
        <v>10088.408355708687</v>
      </c>
      <c r="F55" s="11">
        <f t="shared" si="22"/>
        <v>2582.9206848133636</v>
      </c>
      <c r="G55" s="11">
        <f t="shared" si="20"/>
        <v>10800</v>
      </c>
      <c r="H55" s="11">
        <f t="shared" si="23"/>
        <v>2700</v>
      </c>
      <c r="I55" s="11">
        <f t="shared" si="21"/>
        <v>711.59164429131306</v>
      </c>
    </row>
    <row r="56" spans="1:9" x14ac:dyDescent="0.25">
      <c r="A56" s="3">
        <v>5</v>
      </c>
      <c r="B56" s="10">
        <f t="shared" si="16"/>
        <v>239.41848456573481</v>
      </c>
      <c r="C56" s="11">
        <f t="shared" si="17"/>
        <v>8313.1418251938067</v>
      </c>
      <c r="D56" s="11">
        <f t="shared" si="18"/>
        <v>4400</v>
      </c>
      <c r="E56" s="11">
        <f t="shared" si="19"/>
        <v>12713.141825193807</v>
      </c>
      <c r="F56" s="11">
        <f t="shared" si="22"/>
        <v>2624.7334694851197</v>
      </c>
      <c r="G56" s="11">
        <f t="shared" si="20"/>
        <v>13500</v>
      </c>
      <c r="H56" s="11">
        <f t="shared" si="23"/>
        <v>2700</v>
      </c>
      <c r="I56" s="11">
        <f t="shared" si="21"/>
        <v>786.85817480619335</v>
      </c>
    </row>
    <row r="57" spans="1:9" x14ac:dyDescent="0.25">
      <c r="A57" s="3">
        <v>6</v>
      </c>
      <c r="B57" s="10">
        <f t="shared" si="16"/>
        <v>290.89345874736784</v>
      </c>
      <c r="C57" s="11">
        <f t="shared" si="17"/>
        <v>10100.467317610475</v>
      </c>
      <c r="D57" s="11">
        <f t="shared" si="18"/>
        <v>5280</v>
      </c>
      <c r="E57" s="11">
        <f t="shared" si="19"/>
        <v>15380.467317610475</v>
      </c>
      <c r="F57" s="11">
        <f t="shared" si="22"/>
        <v>2667.3254924166686</v>
      </c>
      <c r="G57" s="11">
        <f t="shared" si="20"/>
        <v>16200</v>
      </c>
      <c r="H57" s="11">
        <f t="shared" si="23"/>
        <v>2700</v>
      </c>
      <c r="I57" s="11">
        <f t="shared" si="21"/>
        <v>819.53268238952478</v>
      </c>
    </row>
    <row r="58" spans="1:9" x14ac:dyDescent="0.25">
      <c r="A58" s="3">
        <v>7</v>
      </c>
      <c r="B58" s="10">
        <f t="shared" si="16"/>
        <v>343.61789814532818</v>
      </c>
      <c r="C58" s="11">
        <f t="shared" si="17"/>
        <v>11931.177018927372</v>
      </c>
      <c r="D58" s="11">
        <f t="shared" si="18"/>
        <v>6160</v>
      </c>
      <c r="E58" s="11">
        <f t="shared" si="19"/>
        <v>18091.177018927374</v>
      </c>
      <c r="F58" s="11">
        <f t="shared" si="22"/>
        <v>2710.7097013168986</v>
      </c>
      <c r="G58" s="11">
        <f t="shared" si="20"/>
        <v>18900</v>
      </c>
      <c r="H58" s="11">
        <f t="shared" si="23"/>
        <v>2700</v>
      </c>
      <c r="I58" s="11">
        <f t="shared" si="21"/>
        <v>808.82298107262613</v>
      </c>
    </row>
    <row r="59" spans="1:9" x14ac:dyDescent="0.25">
      <c r="A59" s="3">
        <v>8</v>
      </c>
      <c r="B59" s="10">
        <f t="shared" si="16"/>
        <v>397.61499642530839</v>
      </c>
      <c r="C59" s="11">
        <f t="shared" si="17"/>
        <v>13806.076264758818</v>
      </c>
      <c r="D59" s="11">
        <f t="shared" si="18"/>
        <v>7040</v>
      </c>
      <c r="E59" s="11">
        <f t="shared" si="19"/>
        <v>20846.07626475882</v>
      </c>
      <c r="F59" s="11">
        <f t="shared" si="22"/>
        <v>2754.899245831446</v>
      </c>
      <c r="G59" s="11">
        <f t="shared" si="20"/>
        <v>21600</v>
      </c>
      <c r="H59" s="11">
        <f t="shared" si="23"/>
        <v>2700</v>
      </c>
      <c r="I59" s="11">
        <f t="shared" si="21"/>
        <v>753.92373524118011</v>
      </c>
    </row>
    <row r="60" spans="1:9" x14ac:dyDescent="0.25">
      <c r="A60" s="3">
        <v>9</v>
      </c>
      <c r="B60" s="10">
        <f t="shared" si="16"/>
        <v>452.90833186570285</v>
      </c>
      <c r="C60" s="11">
        <f t="shared" si="17"/>
        <v>15725.983745326841</v>
      </c>
      <c r="D60" s="11">
        <f t="shared" si="18"/>
        <v>7920</v>
      </c>
      <c r="E60" s="11">
        <f t="shared" si="19"/>
        <v>23645.983745326841</v>
      </c>
      <c r="F60" s="11">
        <f t="shared" si="22"/>
        <v>2799.9074805680211</v>
      </c>
      <c r="G60" s="11">
        <f t="shared" si="20"/>
        <v>24300</v>
      </c>
      <c r="H60" s="11">
        <f t="shared" si="23"/>
        <v>2700</v>
      </c>
      <c r="I60" s="11">
        <f t="shared" si="21"/>
        <v>654.01625467315898</v>
      </c>
    </row>
    <row r="61" spans="1:9" x14ac:dyDescent="0.25">
      <c r="A61" s="3">
        <v>10</v>
      </c>
      <c r="B61" s="10">
        <f t="shared" si="16"/>
        <v>509.52187334891573</v>
      </c>
      <c r="C61" s="11">
        <f t="shared" si="17"/>
        <v>17691.731713492696</v>
      </c>
      <c r="D61" s="11">
        <f t="shared" si="18"/>
        <v>8800</v>
      </c>
      <c r="E61" s="11">
        <f t="shared" si="19"/>
        <v>26491.731713492696</v>
      </c>
      <c r="F61" s="11">
        <f t="shared" si="22"/>
        <v>2845.7479681658551</v>
      </c>
      <c r="G61" s="11">
        <f t="shared" si="20"/>
        <v>27000</v>
      </c>
      <c r="H61" s="11">
        <f t="shared" si="23"/>
        <v>2700</v>
      </c>
      <c r="I61" s="11">
        <f t="shared" si="21"/>
        <v>508.26828650730386</v>
      </c>
    </row>
    <row r="62" spans="1:9" x14ac:dyDescent="0.25">
      <c r="A62" s="3">
        <v>11</v>
      </c>
      <c r="B62" s="10">
        <f t="shared" si="16"/>
        <v>567.47998644235474</v>
      </c>
      <c r="C62" s="11">
        <f t="shared" si="17"/>
        <v>19704.166195902486</v>
      </c>
      <c r="D62" s="11">
        <f t="shared" si="18"/>
        <v>9680</v>
      </c>
      <c r="E62" s="11">
        <f t="shared" si="19"/>
        <v>29384.166195902486</v>
      </c>
      <c r="F62" s="11">
        <f t="shared" si="22"/>
        <v>2892.4344824097898</v>
      </c>
      <c r="G62" s="11">
        <f t="shared" si="20"/>
        <v>29700</v>
      </c>
      <c r="H62" s="11">
        <f t="shared" si="23"/>
        <v>2700</v>
      </c>
      <c r="I62" s="11">
        <f t="shared" si="21"/>
        <v>315.83380409751408</v>
      </c>
    </row>
    <row r="63" spans="1:9" x14ac:dyDescent="0.25">
      <c r="A63" s="3">
        <v>12</v>
      </c>
      <c r="B63" s="10">
        <f t="shared" si="16"/>
        <v>626.80743957041921</v>
      </c>
      <c r="C63" s="11">
        <f t="shared" si="17"/>
        <v>21764.147207292295</v>
      </c>
      <c r="D63" s="11">
        <f t="shared" si="18"/>
        <v>10560</v>
      </c>
      <c r="E63" s="11">
        <f t="shared" si="19"/>
        <v>32324.147207292295</v>
      </c>
      <c r="F63" s="11">
        <f t="shared" si="22"/>
        <v>2939.9810113898093</v>
      </c>
      <c r="G63" s="11">
        <f t="shared" si="20"/>
        <v>32400</v>
      </c>
      <c r="H63" s="11">
        <f t="shared" si="23"/>
        <v>2700</v>
      </c>
      <c r="I63" s="11">
        <f t="shared" si="21"/>
        <v>75.852792707704793</v>
      </c>
    </row>
    <row r="64" spans="1:9" x14ac:dyDescent="0.25">
      <c r="A64" s="3">
        <v>13</v>
      </c>
      <c r="B64" s="10">
        <f t="shared" si="16"/>
        <v>687.52941027880343</v>
      </c>
      <c r="C64" s="11">
        <f t="shared" si="17"/>
        <v>23872.548967998729</v>
      </c>
      <c r="D64" s="11">
        <f t="shared" si="18"/>
        <v>11440</v>
      </c>
      <c r="E64" s="11">
        <f t="shared" si="19"/>
        <v>35312.548967998729</v>
      </c>
      <c r="F64" s="11">
        <f t="shared" si="22"/>
        <v>2988.4017607064343</v>
      </c>
      <c r="G64" s="11">
        <f t="shared" si="20"/>
        <v>35100</v>
      </c>
      <c r="H64" s="11">
        <f t="shared" si="23"/>
        <v>2700</v>
      </c>
      <c r="I64" s="11">
        <f t="shared" si="21"/>
        <v>-212.54896799872949</v>
      </c>
    </row>
    <row r="65" spans="1:9" x14ac:dyDescent="0.25">
      <c r="A65" s="3">
        <v>14</v>
      </c>
      <c r="B65" s="10">
        <f t="shared" si="16"/>
        <v>749.67149159246469</v>
      </c>
      <c r="C65" s="11">
        <f t="shared" si="17"/>
        <v>25515.130062352848</v>
      </c>
      <c r="D65" s="11">
        <f t="shared" si="18"/>
        <v>12320</v>
      </c>
      <c r="E65" s="11">
        <f t="shared" si="19"/>
        <v>37835.130062352851</v>
      </c>
      <c r="F65" s="11">
        <f t="shared" si="22"/>
        <v>2522.5810943541219</v>
      </c>
      <c r="G65" s="11">
        <f t="shared" si="20"/>
        <v>37800</v>
      </c>
      <c r="H65" s="11">
        <f t="shared" si="23"/>
        <v>2700</v>
      </c>
      <c r="I65" s="11">
        <f t="shared" si="21"/>
        <v>-35.130062352851382</v>
      </c>
    </row>
    <row r="66" spans="1:9" x14ac:dyDescent="0.25">
      <c r="A66" s="3">
        <v>15</v>
      </c>
      <c r="B66" s="10">
        <f t="shared" si="16"/>
        <v>813.25969846861108</v>
      </c>
      <c r="C66" s="11">
        <f t="shared" si="17"/>
        <v>26619.091987285239</v>
      </c>
      <c r="D66" s="11">
        <f t="shared" si="18"/>
        <v>13200</v>
      </c>
      <c r="E66" s="11">
        <f t="shared" si="19"/>
        <v>39819.091987285239</v>
      </c>
      <c r="F66" s="11">
        <f t="shared" si="22"/>
        <v>1983.9619249323878</v>
      </c>
      <c r="G66" s="11">
        <f t="shared" si="20"/>
        <v>40500</v>
      </c>
      <c r="H66" s="11">
        <f t="shared" si="23"/>
        <v>2700</v>
      </c>
      <c r="I66" s="11">
        <f t="shared" si="21"/>
        <v>680.90801271476084</v>
      </c>
    </row>
    <row r="67" spans="1:9" x14ac:dyDescent="0.25">
      <c r="A67" s="3">
        <v>16</v>
      </c>
      <c r="B67" s="10">
        <f t="shared" si="16"/>
        <v>878.32047434610013</v>
      </c>
      <c r="C67" s="11">
        <f t="shared" si="17"/>
        <v>27748.619346268701</v>
      </c>
      <c r="D67" s="11">
        <f t="shared" si="18"/>
        <v>14080</v>
      </c>
      <c r="E67" s="11">
        <f t="shared" si="19"/>
        <v>41828.619346268701</v>
      </c>
      <c r="F67" s="11">
        <f t="shared" si="22"/>
        <v>2009.5273589834615</v>
      </c>
      <c r="G67" s="11">
        <f t="shared" si="20"/>
        <v>43200</v>
      </c>
      <c r="H67" s="11">
        <f t="shared" si="23"/>
        <v>2700</v>
      </c>
      <c r="I67" s="11">
        <f t="shared" si="21"/>
        <v>1371.3806537312994</v>
      </c>
    </row>
    <row r="68" spans="1:9" x14ac:dyDescent="0.25">
      <c r="A68" s="3">
        <v>17</v>
      </c>
      <c r="B68" s="10">
        <f t="shared" si="16"/>
        <v>944.88069779264049</v>
      </c>
      <c r="C68" s="11">
        <f t="shared" si="17"/>
        <v>28904.178781103732</v>
      </c>
      <c r="D68" s="11">
        <f t="shared" si="18"/>
        <v>14960</v>
      </c>
      <c r="E68" s="11">
        <f t="shared" si="19"/>
        <v>43864.178781103736</v>
      </c>
      <c r="F68" s="11">
        <f t="shared" si="22"/>
        <v>2035.5594348350351</v>
      </c>
      <c r="G68" s="11">
        <f t="shared" si="20"/>
        <v>45900</v>
      </c>
      <c r="H68" s="11">
        <f t="shared" si="23"/>
        <v>2700</v>
      </c>
      <c r="I68" s="11">
        <f t="shared" si="21"/>
        <v>2035.8212188962643</v>
      </c>
    </row>
    <row r="69" spans="1:9" x14ac:dyDescent="0.25">
      <c r="A69" s="3">
        <v>18</v>
      </c>
      <c r="B69" s="10">
        <f t="shared" si="16"/>
        <v>1012.9676892512279</v>
      </c>
      <c r="C69" s="11">
        <f t="shared" si="17"/>
        <v>30086.244605036783</v>
      </c>
      <c r="D69" s="11">
        <f t="shared" si="18"/>
        <v>15840</v>
      </c>
      <c r="E69" s="11">
        <f t="shared" si="19"/>
        <v>45926.244605036787</v>
      </c>
      <c r="F69" s="11">
        <f t="shared" si="22"/>
        <v>2062.0658239330514</v>
      </c>
      <c r="G69" s="11">
        <f t="shared" si="20"/>
        <v>48600</v>
      </c>
      <c r="H69" s="11">
        <f t="shared" si="23"/>
        <v>2700</v>
      </c>
      <c r="I69" s="11">
        <f t="shared" si="21"/>
        <v>2673.7553949632129</v>
      </c>
    </row>
    <row r="70" spans="1:9" x14ac:dyDescent="0.25">
      <c r="A70" s="3">
        <v>19</v>
      </c>
      <c r="B70" s="10">
        <f t="shared" si="16"/>
        <v>1082.6092178872495</v>
      </c>
      <c r="C70" s="11">
        <f t="shared" si="17"/>
        <v>31295.29892163361</v>
      </c>
      <c r="D70" s="11">
        <f t="shared" si="18"/>
        <v>16720</v>
      </c>
      <c r="E70" s="11">
        <f t="shared" si="19"/>
        <v>48015.298921633614</v>
      </c>
      <c r="F70" s="11">
        <f t="shared" si="22"/>
        <v>2089.0543165968265</v>
      </c>
      <c r="G70" s="11">
        <f t="shared" si="20"/>
        <v>51300</v>
      </c>
      <c r="H70" s="11">
        <f t="shared" si="23"/>
        <v>2700</v>
      </c>
      <c r="I70" s="11">
        <f t="shared" si="21"/>
        <v>3284.7010783663864</v>
      </c>
    </row>
    <row r="71" spans="1:9" x14ac:dyDescent="0.25">
      <c r="A71" s="3">
        <v>20</v>
      </c>
      <c r="B71" s="10">
        <f t="shared" si="16"/>
        <v>1153.8335085377266</v>
      </c>
      <c r="C71" s="11">
        <f t="shared" si="17"/>
        <v>32531.831745425821</v>
      </c>
      <c r="D71" s="11">
        <f t="shared" si="18"/>
        <v>17600</v>
      </c>
      <c r="E71" s="11">
        <f t="shared" si="19"/>
        <v>50131.831745425821</v>
      </c>
      <c r="F71" s="11">
        <f t="shared" si="22"/>
        <v>2116.5328237922076</v>
      </c>
      <c r="G71" s="11">
        <f t="shared" si="20"/>
        <v>54000</v>
      </c>
      <c r="H71" s="11">
        <f t="shared" si="23"/>
        <v>2700</v>
      </c>
      <c r="I71" s="11">
        <f t="shared" si="21"/>
        <v>3868.1682545741787</v>
      </c>
    </row>
    <row r="72" spans="1:9" x14ac:dyDescent="0.25">
      <c r="A72" s="3">
        <v>21</v>
      </c>
      <c r="B72" s="10">
        <f t="shared" si="16"/>
        <v>1226.6692487641703</v>
      </c>
      <c r="C72" s="11">
        <f t="shared" si="17"/>
        <v>33796.341124356331</v>
      </c>
      <c r="D72" s="11">
        <f t="shared" si="18"/>
        <v>18480</v>
      </c>
      <c r="E72" s="11">
        <f t="shared" si="19"/>
        <v>52276.341124356331</v>
      </c>
      <c r="F72" s="11">
        <f t="shared" si="22"/>
        <v>2144.5093789305101</v>
      </c>
      <c r="G72" s="11">
        <f t="shared" si="20"/>
        <v>56700</v>
      </c>
      <c r="H72" s="11">
        <f t="shared" si="23"/>
        <v>2700</v>
      </c>
      <c r="I72" s="11">
        <f t="shared" si="21"/>
        <v>4423.6588756436686</v>
      </c>
    </row>
    <row r="73" spans="1:9" x14ac:dyDescent="0.25">
      <c r="A73" s="3">
        <v>22</v>
      </c>
      <c r="B73" s="10">
        <f t="shared" si="16"/>
        <v>1301.1455960105666</v>
      </c>
      <c r="C73" s="11">
        <f t="shared" si="17"/>
        <v>35089.333264049885</v>
      </c>
      <c r="D73" s="11">
        <f t="shared" si="18"/>
        <v>19360</v>
      </c>
      <c r="E73" s="11">
        <f t="shared" si="19"/>
        <v>54449.333264049885</v>
      </c>
      <c r="F73" s="11">
        <f t="shared" si="22"/>
        <v>2172.9921396935533</v>
      </c>
      <c r="G73" s="11">
        <f t="shared" si="20"/>
        <v>59400</v>
      </c>
      <c r="H73" s="11">
        <f t="shared" si="23"/>
        <v>2700</v>
      </c>
      <c r="I73" s="11">
        <f t="shared" si="21"/>
        <v>4950.6667359501153</v>
      </c>
    </row>
    <row r="74" spans="1:9" x14ac:dyDescent="0.25">
      <c r="A74" s="3">
        <v>23</v>
      </c>
      <c r="B74" s="10">
        <f t="shared" si="16"/>
        <v>1377.292184868003</v>
      </c>
      <c r="C74" s="11">
        <f t="shared" si="17"/>
        <v>36411.322653935087</v>
      </c>
      <c r="D74" s="11">
        <f t="shared" si="18"/>
        <v>20240</v>
      </c>
      <c r="E74" s="11">
        <f t="shared" si="19"/>
        <v>56651.322653935087</v>
      </c>
      <c r="F74" s="11">
        <f t="shared" si="22"/>
        <v>2201.9893898852024</v>
      </c>
      <c r="G74" s="11">
        <f t="shared" si="20"/>
        <v>62100</v>
      </c>
      <c r="H74" s="11">
        <f t="shared" si="23"/>
        <v>2700</v>
      </c>
      <c r="I74" s="11">
        <f t="shared" si="21"/>
        <v>5448.6773460649129</v>
      </c>
    </row>
    <row r="75" spans="1:9" x14ac:dyDescent="0.25">
      <c r="A75" s="3">
        <v>24</v>
      </c>
      <c r="B75" s="10">
        <f t="shared" si="16"/>
        <v>1455.1391344474989</v>
      </c>
      <c r="C75" s="11">
        <f t="shared" si="17"/>
        <v>37762.832195244911</v>
      </c>
      <c r="D75" s="11">
        <f t="shared" si="18"/>
        <v>21120</v>
      </c>
      <c r="E75" s="11">
        <f t="shared" si="19"/>
        <v>58882.832195244911</v>
      </c>
      <c r="F75" s="11">
        <f t="shared" si="22"/>
        <v>2231.5095413098243</v>
      </c>
      <c r="G75" s="11">
        <f t="shared" si="20"/>
        <v>64800</v>
      </c>
      <c r="H75" s="11">
        <f t="shared" si="23"/>
        <v>2700</v>
      </c>
      <c r="I75" s="11">
        <f t="shared" si="21"/>
        <v>5917.1678047550886</v>
      </c>
    </row>
    <row r="76" spans="1:9" x14ac:dyDescent="0.25">
      <c r="A76" s="3">
        <v>25</v>
      </c>
      <c r="B76" s="10">
        <f t="shared" si="16"/>
        <v>1534.7170558625965</v>
      </c>
      <c r="C76" s="11">
        <f t="shared" si="17"/>
        <v>39144.393330922801</v>
      </c>
      <c r="D76" s="11">
        <f t="shared" si="18"/>
        <v>22000</v>
      </c>
      <c r="E76" s="11">
        <f t="shared" si="19"/>
        <v>61144.393330922801</v>
      </c>
      <c r="F76" s="11">
        <f t="shared" si="22"/>
        <v>2261.56113567789</v>
      </c>
      <c r="G76" s="11">
        <f t="shared" si="20"/>
        <v>67500</v>
      </c>
      <c r="H76" s="11">
        <f t="shared" si="23"/>
        <v>2700</v>
      </c>
      <c r="I76" s="11">
        <f t="shared" si="21"/>
        <v>6355.6066690771986</v>
      </c>
    </row>
    <row r="77" spans="1:9" x14ac:dyDescent="0.25">
      <c r="A77" s="3">
        <v>26</v>
      </c>
      <c r="B77" s="10">
        <f t="shared" si="16"/>
        <v>1616.0570598233144</v>
      </c>
      <c r="C77" s="11">
        <f t="shared" si="17"/>
        <v>40556.546177462144</v>
      </c>
      <c r="D77" s="11">
        <f t="shared" si="18"/>
        <v>22880</v>
      </c>
      <c r="E77" s="11">
        <f t="shared" si="19"/>
        <v>63436.546177462144</v>
      </c>
      <c r="F77" s="11">
        <f t="shared" si="22"/>
        <v>2292.1528465393421</v>
      </c>
      <c r="G77" s="11">
        <f t="shared" si="20"/>
        <v>70200</v>
      </c>
      <c r="H77" s="11">
        <f t="shared" si="23"/>
        <v>2700</v>
      </c>
      <c r="I77" s="11">
        <f t="shared" si="21"/>
        <v>6763.4538225378565</v>
      </c>
    </row>
    <row r="78" spans="1:9" x14ac:dyDescent="0.25">
      <c r="A78" s="3">
        <v>27</v>
      </c>
      <c r="B78" s="10">
        <f t="shared" si="16"/>
        <v>1699.1907643430709</v>
      </c>
      <c r="C78" s="11">
        <f t="shared" si="17"/>
        <v>41999.839658706987</v>
      </c>
      <c r="D78" s="11">
        <f t="shared" si="18"/>
        <v>23760</v>
      </c>
      <c r="E78" s="11">
        <f t="shared" si="19"/>
        <v>65759.839658706987</v>
      </c>
      <c r="F78" s="11">
        <f t="shared" si="22"/>
        <v>2323.2934812448439</v>
      </c>
      <c r="G78" s="11">
        <f t="shared" si="20"/>
        <v>72900</v>
      </c>
      <c r="H78" s="11">
        <f t="shared" si="23"/>
        <v>2700</v>
      </c>
      <c r="I78" s="11">
        <f t="shared" si="21"/>
        <v>7140.1603412930126</v>
      </c>
    </row>
    <row r="79" spans="1:9" x14ac:dyDescent="0.25">
      <c r="A79" s="3">
        <v>28</v>
      </c>
      <c r="B79" s="10">
        <f t="shared" si="16"/>
        <v>1784.1503025602246</v>
      </c>
      <c r="C79" s="11">
        <f t="shared" si="17"/>
        <v>43474.831641642741</v>
      </c>
      <c r="D79" s="11">
        <f t="shared" si="18"/>
        <v>24640</v>
      </c>
      <c r="E79" s="11">
        <f t="shared" si="19"/>
        <v>68114.831641642741</v>
      </c>
      <c r="F79" s="11">
        <f t="shared" si="22"/>
        <v>2354.9919829357532</v>
      </c>
      <c r="G79" s="11">
        <f t="shared" si="20"/>
        <v>75600</v>
      </c>
      <c r="H79" s="11">
        <f t="shared" si="23"/>
        <v>2700</v>
      </c>
      <c r="I79" s="11">
        <f t="shared" si="21"/>
        <v>7485.1683583572594</v>
      </c>
    </row>
    <row r="80" spans="1:9" x14ac:dyDescent="0.25">
      <c r="A80" s="3">
        <v>29</v>
      </c>
      <c r="B80" s="10">
        <f t="shared" si="16"/>
        <v>1870.9683306758782</v>
      </c>
      <c r="C80" s="11">
        <f t="shared" si="17"/>
        <v>44982.089074205214</v>
      </c>
      <c r="D80" s="11">
        <f t="shared" si="18"/>
        <v>25520</v>
      </c>
      <c r="E80" s="11">
        <f t="shared" si="19"/>
        <v>70502.089074205214</v>
      </c>
      <c r="F80" s="11">
        <f t="shared" si="22"/>
        <v>2387.2574325624737</v>
      </c>
      <c r="G80" s="11">
        <f t="shared" si="20"/>
        <v>78300</v>
      </c>
      <c r="H80" s="11">
        <f t="shared" si="23"/>
        <v>2700</v>
      </c>
      <c r="I80" s="11">
        <f t="shared" si="21"/>
        <v>7797.9109257947857</v>
      </c>
    </row>
    <row r="81" spans="1:9" x14ac:dyDescent="0.25">
      <c r="A81" s="3">
        <v>30</v>
      </c>
      <c r="B81" s="10">
        <f t="shared" si="16"/>
        <v>1959.6780360096488</v>
      </c>
      <c r="C81" s="11">
        <f t="shared" si="17"/>
        <v>46522.188125137742</v>
      </c>
      <c r="D81" s="11">
        <f t="shared" si="18"/>
        <v>26400</v>
      </c>
      <c r="E81" s="11">
        <f t="shared" si="19"/>
        <v>72922.188125137734</v>
      </c>
      <c r="F81" s="11">
        <f t="shared" si="22"/>
        <v>2420.0990509325202</v>
      </c>
      <c r="G81" s="11">
        <f t="shared" si="20"/>
        <v>81000</v>
      </c>
      <c r="H81" s="11">
        <f t="shared" si="23"/>
        <v>2700</v>
      </c>
      <c r="I81" s="11">
        <f t="shared" si="21"/>
        <v>8077.8118748622655</v>
      </c>
    </row>
  </sheetData>
  <mergeCells count="3">
    <mergeCell ref="A1:I1"/>
    <mergeCell ref="A25:I25"/>
    <mergeCell ref="A49:I49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9"/>
  <sheetViews>
    <sheetView showGridLines="0" topLeftCell="A30" zoomScaleNormal="100" workbookViewId="0">
      <selection activeCell="C6" sqref="C6"/>
    </sheetView>
  </sheetViews>
  <sheetFormatPr defaultColWidth="8.7109375" defaultRowHeight="15" x14ac:dyDescent="0.25"/>
  <cols>
    <col min="1" max="1" width="34" customWidth="1"/>
    <col min="2" max="3" width="20" customWidth="1"/>
    <col min="4" max="5" width="18" customWidth="1"/>
  </cols>
  <sheetData>
    <row r="1" spans="1:5" ht="16.5" x14ac:dyDescent="0.25">
      <c r="A1" s="30" t="s">
        <v>73</v>
      </c>
      <c r="B1" s="30"/>
      <c r="C1" s="1"/>
      <c r="D1" s="1"/>
      <c r="E1" s="1"/>
    </row>
    <row r="2" spans="1:5" x14ac:dyDescent="0.25">
      <c r="A2" s="1" t="s">
        <v>74</v>
      </c>
      <c r="B2" s="15">
        <v>10</v>
      </c>
      <c r="C2" s="1"/>
      <c r="D2" s="1"/>
      <c r="E2" s="1"/>
    </row>
    <row r="3" spans="1:5" x14ac:dyDescent="0.25">
      <c r="A3" s="1" t="s">
        <v>75</v>
      </c>
      <c r="B3" s="15">
        <v>20</v>
      </c>
      <c r="C3" s="1"/>
      <c r="D3" s="1"/>
      <c r="E3" s="1"/>
    </row>
    <row r="4" spans="1:5" x14ac:dyDescent="0.25">
      <c r="A4" s="1" t="s">
        <v>76</v>
      </c>
      <c r="B4" s="15">
        <v>30</v>
      </c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ht="16.5" x14ac:dyDescent="0.25">
      <c r="A7" s="30" t="s">
        <v>77</v>
      </c>
      <c r="B7" s="30"/>
      <c r="C7" s="1"/>
      <c r="D7" s="1"/>
      <c r="E7" s="1"/>
    </row>
    <row r="8" spans="1:5" x14ac:dyDescent="0.25">
      <c r="A8" s="1" t="s">
        <v>78</v>
      </c>
      <c r="B8" s="16">
        <f>TOM_BEDS</f>
        <v>10</v>
      </c>
      <c r="C8" s="1"/>
      <c r="D8" s="1"/>
      <c r="E8" s="1"/>
    </row>
    <row r="9" spans="1:5" x14ac:dyDescent="0.25">
      <c r="A9" s="1" t="s">
        <v>79</v>
      </c>
      <c r="B9" s="16">
        <f>CAR_BEDS</f>
        <v>20</v>
      </c>
      <c r="C9" s="1"/>
      <c r="D9" s="1"/>
      <c r="E9" s="1"/>
    </row>
    <row r="10" spans="1:5" x14ac:dyDescent="0.25">
      <c r="A10" s="1" t="s">
        <v>80</v>
      </c>
      <c r="B10" s="16">
        <f>MES_BEDS</f>
        <v>30</v>
      </c>
      <c r="C10" s="1"/>
      <c r="D10" s="1"/>
      <c r="E10" s="1"/>
    </row>
    <row r="11" spans="1:5" x14ac:dyDescent="0.25">
      <c r="A11" s="1" t="s">
        <v>81</v>
      </c>
      <c r="B11" s="17">
        <f>TOM_BEDS*TOM_PRICE+CAR_BEDS*CAR_PRICE+MES_BEDS*MES_PRICE</f>
        <v>210880</v>
      </c>
      <c r="C11" s="1"/>
      <c r="D11" s="1"/>
      <c r="E11" s="1"/>
    </row>
    <row r="12" spans="1:5" x14ac:dyDescent="0.25">
      <c r="A12" s="1" t="s">
        <v>59</v>
      </c>
      <c r="B12" s="18">
        <f>CostStructure!B12</f>
        <v>148118.33531718838</v>
      </c>
      <c r="C12" s="1"/>
      <c r="D12" s="1"/>
      <c r="E12" s="1"/>
    </row>
    <row r="13" spans="1:5" x14ac:dyDescent="0.25">
      <c r="A13" s="1" t="s">
        <v>58</v>
      </c>
      <c r="B13" s="18">
        <f>CostStructure!B11</f>
        <v>20000</v>
      </c>
      <c r="C13" s="1"/>
      <c r="D13" s="1"/>
      <c r="E13" s="1"/>
    </row>
    <row r="14" spans="1:5" x14ac:dyDescent="0.25">
      <c r="A14" s="19" t="s">
        <v>82</v>
      </c>
      <c r="B14" s="20">
        <f>TOTAL_REVENUE-TOTAL_VARIABLE_COST-TOTAL_FIXED_COST</f>
        <v>42761.664682811621</v>
      </c>
      <c r="C14" s="1"/>
      <c r="D14" s="1"/>
      <c r="E14" s="1"/>
    </row>
    <row r="15" spans="1:5" x14ac:dyDescent="0.25">
      <c r="A15" s="1" t="s">
        <v>83</v>
      </c>
      <c r="B15" s="21">
        <f>TOTAL_LABOR_HRS</f>
        <v>5277.2161142738878</v>
      </c>
      <c r="C15" s="1"/>
      <c r="D15" s="1"/>
      <c r="E15" s="1"/>
    </row>
    <row r="16" spans="1:5" x14ac:dyDescent="0.25">
      <c r="A16" s="1" t="s">
        <v>84</v>
      </c>
      <c r="B16" s="21">
        <f>FARMER_HOURS+MAX_TEMP_WORKERS*TEMP_WORKER_HOURS</f>
        <v>6480</v>
      </c>
      <c r="C16" s="1"/>
      <c r="D16" s="1"/>
      <c r="E16" s="1"/>
    </row>
    <row r="17" spans="1:5" x14ac:dyDescent="0.25">
      <c r="A17" s="1" t="s">
        <v>85</v>
      </c>
      <c r="B17" s="21">
        <f>TOTAL_LABOR_AVAILABLE-TOTAL_LABOR_USED</f>
        <v>1202.7838857261122</v>
      </c>
      <c r="C17" s="1"/>
      <c r="D17" s="1"/>
      <c r="E17" s="1"/>
    </row>
    <row r="18" spans="1:5" x14ac:dyDescent="0.25">
      <c r="A18" s="1" t="s">
        <v>51</v>
      </c>
      <c r="B18" s="22">
        <f>CostStructure!B5</f>
        <v>4</v>
      </c>
      <c r="C18" s="1"/>
      <c r="D18" s="1"/>
      <c r="E18" s="1"/>
    </row>
    <row r="19" spans="1:5" x14ac:dyDescent="0.25">
      <c r="A19" s="1" t="s">
        <v>86</v>
      </c>
      <c r="B19" s="16">
        <f>TOTAL_BEDS-(TOM_BEDS+CAR_BEDS+MES_BEDS)</f>
        <v>4</v>
      </c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 t="s">
        <v>87</v>
      </c>
      <c r="B21" s="23" t="s">
        <v>179</v>
      </c>
      <c r="C21" s="24" t="s">
        <v>88</v>
      </c>
      <c r="D21" s="1"/>
      <c r="E21" s="1"/>
    </row>
    <row r="22" spans="1:5" x14ac:dyDescent="0.25">
      <c r="A22" s="1"/>
      <c r="B22" s="1"/>
      <c r="C22" s="1"/>
      <c r="D22" s="1"/>
      <c r="E22" s="1"/>
    </row>
    <row r="23" spans="1:5" ht="16.5" x14ac:dyDescent="0.25">
      <c r="A23" s="30" t="s">
        <v>89</v>
      </c>
      <c r="B23" s="30"/>
      <c r="C23" s="30"/>
      <c r="D23" s="30"/>
      <c r="E23" s="30"/>
    </row>
    <row r="24" spans="1:5" x14ac:dyDescent="0.25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94</v>
      </c>
    </row>
    <row r="25" spans="1:5" x14ac:dyDescent="0.25">
      <c r="A25" s="1" t="s">
        <v>95</v>
      </c>
      <c r="B25" s="21">
        <f>TOM_BEDS</f>
        <v>10</v>
      </c>
      <c r="C25" s="16">
        <f>TOM_MAX_BEDS</f>
        <v>20</v>
      </c>
      <c r="D25" s="21">
        <f>C25-B25</f>
        <v>10</v>
      </c>
      <c r="E25" s="1" t="str">
        <f t="shared" ref="E25:E32" si="0">IF(D25&gt;=0,"PASS","FAIL")</f>
        <v>PASS</v>
      </c>
    </row>
    <row r="26" spans="1:5" x14ac:dyDescent="0.25">
      <c r="A26" s="1" t="s">
        <v>96</v>
      </c>
      <c r="B26" s="21">
        <f>CAR_BEDS</f>
        <v>20</v>
      </c>
      <c r="C26" s="16">
        <f>CAR_MAX_BEDS</f>
        <v>20</v>
      </c>
      <c r="D26" s="21">
        <f>C26-B26</f>
        <v>0</v>
      </c>
      <c r="E26" s="1" t="str">
        <f t="shared" si="0"/>
        <v>PASS</v>
      </c>
    </row>
    <row r="27" spans="1:5" x14ac:dyDescent="0.25">
      <c r="A27" s="1" t="s">
        <v>97</v>
      </c>
      <c r="B27" s="21">
        <f>MES_BEDS</f>
        <v>30</v>
      </c>
      <c r="C27" s="16">
        <f>MES_MAX_BEDS</f>
        <v>30</v>
      </c>
      <c r="D27" s="21">
        <f>C27-B27</f>
        <v>0</v>
      </c>
      <c r="E27" s="1" t="str">
        <f t="shared" si="0"/>
        <v>PASS</v>
      </c>
    </row>
    <row r="28" spans="1:5" x14ac:dyDescent="0.25">
      <c r="A28" s="1" t="s">
        <v>98</v>
      </c>
      <c r="B28" s="21">
        <f>TOM_BEDS+CAR_BEDS+MES_BEDS</f>
        <v>60</v>
      </c>
      <c r="C28" s="16">
        <f>TOTAL_BEDS</f>
        <v>64</v>
      </c>
      <c r="D28" s="21">
        <f>C28-B28</f>
        <v>4</v>
      </c>
      <c r="E28" s="1" t="str">
        <f t="shared" si="0"/>
        <v>PASS</v>
      </c>
    </row>
    <row r="29" spans="1:5" x14ac:dyDescent="0.25">
      <c r="A29" s="1" t="s">
        <v>99</v>
      </c>
      <c r="B29" s="21">
        <f>TEMP_HOURS_USED</f>
        <v>4557.2161142738878</v>
      </c>
      <c r="C29" s="1">
        <f>MAX_TEMP_WORKERS*TEMP_WORKER_HOURS</f>
        <v>5760</v>
      </c>
      <c r="D29" s="21">
        <f>C29-B29</f>
        <v>1202.7838857261122</v>
      </c>
      <c r="E29" s="1" t="str">
        <f t="shared" si="0"/>
        <v>PASS</v>
      </c>
    </row>
    <row r="30" spans="1:5" x14ac:dyDescent="0.25">
      <c r="A30" s="1" t="s">
        <v>100</v>
      </c>
      <c r="B30" s="21">
        <f>TOM_BEDS</f>
        <v>10</v>
      </c>
      <c r="C30" s="1">
        <f>0</f>
        <v>0</v>
      </c>
      <c r="D30" s="21">
        <f>B30-C30</f>
        <v>10</v>
      </c>
      <c r="E30" s="1" t="str">
        <f t="shared" si="0"/>
        <v>PASS</v>
      </c>
    </row>
    <row r="31" spans="1:5" x14ac:dyDescent="0.25">
      <c r="A31" s="1" t="s">
        <v>101</v>
      </c>
      <c r="B31" s="21">
        <f>CAR_BEDS</f>
        <v>20</v>
      </c>
      <c r="C31" s="1">
        <f>0</f>
        <v>0</v>
      </c>
      <c r="D31" s="21">
        <f>B31-C31</f>
        <v>20</v>
      </c>
      <c r="E31" s="1" t="str">
        <f t="shared" si="0"/>
        <v>PASS</v>
      </c>
    </row>
    <row r="32" spans="1:5" x14ac:dyDescent="0.25">
      <c r="A32" s="1" t="s">
        <v>102</v>
      </c>
      <c r="B32" s="21">
        <f>MES_BEDS</f>
        <v>30</v>
      </c>
      <c r="C32" s="1">
        <f>0</f>
        <v>0</v>
      </c>
      <c r="D32" s="21">
        <f>B32-C32</f>
        <v>30</v>
      </c>
      <c r="E32" s="1" t="str">
        <f t="shared" si="0"/>
        <v>PASS</v>
      </c>
    </row>
    <row r="33" spans="1:5" x14ac:dyDescent="0.25">
      <c r="A33" s="1" t="s">
        <v>103</v>
      </c>
      <c r="B33" s="21">
        <f>TOM_BEDS</f>
        <v>10</v>
      </c>
      <c r="C33" s="1" t="str">
        <f>"Integer"</f>
        <v>Integer</v>
      </c>
      <c r="D33" s="21">
        <f>MOD(B33,1)</f>
        <v>0</v>
      </c>
      <c r="E33" s="1" t="str">
        <f>IF(D33=0,"PASS","FAIL")</f>
        <v>PASS</v>
      </c>
    </row>
    <row r="34" spans="1:5" x14ac:dyDescent="0.25">
      <c r="A34" s="1" t="s">
        <v>104</v>
      </c>
      <c r="B34" s="21">
        <f>CAR_BEDS</f>
        <v>20</v>
      </c>
      <c r="C34" s="1" t="str">
        <f>"Integer"</f>
        <v>Integer</v>
      </c>
      <c r="D34" s="21">
        <f>MOD(B34,1)</f>
        <v>0</v>
      </c>
      <c r="E34" s="1" t="str">
        <f>IF(D34=0,"PASS","FAIL")</f>
        <v>PASS</v>
      </c>
    </row>
    <row r="35" spans="1:5" x14ac:dyDescent="0.25">
      <c r="A35" s="1" t="s">
        <v>105</v>
      </c>
      <c r="B35" s="21">
        <f>MES_BEDS</f>
        <v>30</v>
      </c>
      <c r="C35" s="1" t="str">
        <f>"Integer"</f>
        <v>Integer</v>
      </c>
      <c r="D35" s="21">
        <f>MOD(B35,1)</f>
        <v>0</v>
      </c>
      <c r="E35" s="1" t="str">
        <f>IF(D35=0,"PASS","FAIL")</f>
        <v>PASS</v>
      </c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ht="16.5" x14ac:dyDescent="0.25">
      <c r="A38" s="30" t="s">
        <v>106</v>
      </c>
      <c r="B38" s="30"/>
      <c r="C38" s="30"/>
      <c r="D38" s="30"/>
      <c r="E38" s="30"/>
    </row>
    <row r="39" spans="1:5" x14ac:dyDescent="0.25">
      <c r="A39" s="1" t="s">
        <v>107</v>
      </c>
      <c r="B39" s="31" t="s">
        <v>108</v>
      </c>
      <c r="C39" s="31"/>
      <c r="D39" s="31"/>
      <c r="E39" s="31"/>
    </row>
    <row r="40" spans="1:5" x14ac:dyDescent="0.25">
      <c r="A40" s="1" t="s">
        <v>109</v>
      </c>
      <c r="B40" s="31" t="s">
        <v>110</v>
      </c>
      <c r="C40" s="31"/>
      <c r="D40" s="31"/>
      <c r="E40" s="31"/>
    </row>
    <row r="41" spans="1:5" x14ac:dyDescent="0.25">
      <c r="A41" s="1" t="s">
        <v>111</v>
      </c>
      <c r="B41" s="31" t="s">
        <v>112</v>
      </c>
      <c r="C41" s="31"/>
      <c r="D41" s="31"/>
      <c r="E41" s="31"/>
    </row>
    <row r="42" spans="1:5" x14ac:dyDescent="0.25">
      <c r="A42" s="1" t="s">
        <v>113</v>
      </c>
      <c r="B42" s="31" t="s">
        <v>114</v>
      </c>
      <c r="C42" s="31"/>
      <c r="D42" s="31"/>
      <c r="E42" s="31"/>
    </row>
    <row r="43" spans="1:5" x14ac:dyDescent="0.25">
      <c r="A43" s="1" t="s">
        <v>115</v>
      </c>
      <c r="B43" s="31" t="s">
        <v>116</v>
      </c>
      <c r="C43" s="31"/>
      <c r="D43" s="31"/>
      <c r="E43" s="31"/>
    </row>
    <row r="44" spans="1:5" x14ac:dyDescent="0.25">
      <c r="A44" s="1" t="s">
        <v>117</v>
      </c>
      <c r="B44" s="31" t="s">
        <v>118</v>
      </c>
      <c r="C44" s="31"/>
      <c r="D44" s="31"/>
      <c r="E44" s="31"/>
    </row>
    <row r="45" spans="1:5" x14ac:dyDescent="0.25">
      <c r="A45" s="1" t="s">
        <v>119</v>
      </c>
      <c r="B45" s="31" t="s">
        <v>120</v>
      </c>
      <c r="C45" s="31"/>
      <c r="D45" s="31"/>
      <c r="E45" s="31"/>
    </row>
    <row r="46" spans="1:5" x14ac:dyDescent="0.25">
      <c r="A46" s="1" t="s">
        <v>121</v>
      </c>
      <c r="B46" s="31" t="s">
        <v>122</v>
      </c>
      <c r="C46" s="31"/>
      <c r="D46" s="31"/>
      <c r="E46" s="31"/>
    </row>
    <row r="47" spans="1:5" x14ac:dyDescent="0.25">
      <c r="A47" s="1" t="s">
        <v>123</v>
      </c>
      <c r="B47" s="31" t="s">
        <v>124</v>
      </c>
      <c r="C47" s="31"/>
      <c r="D47" s="31"/>
      <c r="E47" s="31"/>
    </row>
    <row r="48" spans="1:5" x14ac:dyDescent="0.25">
      <c r="A48" s="1" t="s">
        <v>125</v>
      </c>
      <c r="B48" s="31" t="s">
        <v>126</v>
      </c>
      <c r="C48" s="31"/>
      <c r="D48" s="31"/>
      <c r="E48" s="31"/>
    </row>
    <row r="49" spans="1:5" x14ac:dyDescent="0.25">
      <c r="A49" s="1" t="s">
        <v>127</v>
      </c>
      <c r="B49" s="31" t="s">
        <v>128</v>
      </c>
      <c r="C49" s="31"/>
      <c r="D49" s="31"/>
      <c r="E49" s="31"/>
    </row>
  </sheetData>
  <scenarios current="0">
    <scenario name="First Run" count="3" user="Wade Okumura" comment="Created by Wade Okumura on 9/7/2026">
      <inputCells r="B2" val="10" numFmtId="164"/>
      <inputCells r="B3" val="20" numFmtId="164"/>
      <inputCells r="B4" val="30" numFmtId="164"/>
    </scenario>
  </scenarios>
  <mergeCells count="15">
    <mergeCell ref="B45:E45"/>
    <mergeCell ref="B46:E46"/>
    <mergeCell ref="B47:E47"/>
    <mergeCell ref="B48:E48"/>
    <mergeCell ref="B49:E49"/>
    <mergeCell ref="B40:E40"/>
    <mergeCell ref="B41:E41"/>
    <mergeCell ref="B42:E42"/>
    <mergeCell ref="B43:E43"/>
    <mergeCell ref="B44:E44"/>
    <mergeCell ref="A1:B1"/>
    <mergeCell ref="A7:B7"/>
    <mergeCell ref="A23:E23"/>
    <mergeCell ref="A38:E38"/>
    <mergeCell ref="B39:E39"/>
  </mergeCells>
  <dataValidations count="1">
    <dataValidation type="list" sqref="B21" xr:uid="{00000000-0002-0000-0300-000000000000}">
      <formula1>"NOT RUN,RUN"</formula1>
      <formula2>0</formula2>
    </dataValidation>
  </dataValidations>
  <pageMargins left="0.25" right="0.25" top="0.5" bottom="0.5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6"/>
  <sheetViews>
    <sheetView showGridLines="0" zoomScaleNormal="100" workbookViewId="0">
      <pane ySplit="1" topLeftCell="A2" activePane="bottomLeft" state="frozen"/>
      <selection pane="bottomLeft" activeCell="B14" sqref="B14"/>
    </sheetView>
  </sheetViews>
  <sheetFormatPr defaultColWidth="8.7109375" defaultRowHeight="15" x14ac:dyDescent="0.25"/>
  <cols>
    <col min="1" max="1" width="48" customWidth="1"/>
    <col min="2" max="2" width="30" customWidth="1"/>
    <col min="3" max="3" width="32" customWidth="1"/>
    <col min="4" max="4" width="18" customWidth="1"/>
  </cols>
  <sheetData>
    <row r="1" spans="1:4" x14ac:dyDescent="0.25">
      <c r="A1" s="2" t="s">
        <v>129</v>
      </c>
      <c r="B1" s="2" t="s">
        <v>130</v>
      </c>
      <c r="C1" s="2" t="s">
        <v>131</v>
      </c>
      <c r="D1" s="2" t="s">
        <v>132</v>
      </c>
    </row>
    <row r="2" spans="1:4" x14ac:dyDescent="0.25">
      <c r="A2" s="1" t="s">
        <v>133</v>
      </c>
      <c r="B2" s="1" t="s">
        <v>134</v>
      </c>
      <c r="C2" s="25" t="str">
        <f>IF(SUMPRODUCT(--ISERROR(CostStructure!B2:B13))+SUMPRODUCT(--ISERROR(MCSchedules!B3:I23))+SUMPRODUCT(--ISERROR(MCSchedules!B27:I47))+SUMPRODUCT(--ISERROR(MCSchedules!B51:I81))+SUMPRODUCT(--ISERROR(Optimization!B8:E35))=0,"No errors","Errors found")</f>
        <v>No errors</v>
      </c>
      <c r="D2" s="26" t="str">
        <f t="shared" ref="D2:D11" si="0">IF(C2=B2,"PASS","FAIL")</f>
        <v>PASS</v>
      </c>
    </row>
    <row r="3" spans="1:4" x14ac:dyDescent="0.25">
      <c r="A3" s="1" t="s">
        <v>135</v>
      </c>
      <c r="B3" s="1" t="s">
        <v>136</v>
      </c>
      <c r="C3" s="25" t="str" cm="1">
        <f t="array" ref="C3">SUMPRODUCT(--_xlfn.ISFORMULA(CostStructure!B2:B13))+SUMPRODUCT(--_xlfn.ISFORMULA(MCSchedules!B3:I23))+SUMPRODUCT(--_xlfn.ISFORMULA(MCSchedules!B27:I47))+SUMPRODUCT(--_xlfn.ISFORMULA(MCSchedules!B51:I81))+SUMPRODUCT(--_xlfn.ISFORMULA(Optimization!B8:B19))+SUMPRODUCT(--_xlfn.ISFORMULA(Optimization!B25:E35))&amp;" formula cells"</f>
        <v>646 formula cells</v>
      </c>
      <c r="D3" s="26" t="str">
        <f>IF(C3=B3,"PASS","FAIL")</f>
        <v>PASS</v>
      </c>
    </row>
    <row r="4" spans="1:4" x14ac:dyDescent="0.25">
      <c r="A4" s="1" t="s">
        <v>137</v>
      </c>
      <c r="B4" s="1" t="s">
        <v>138</v>
      </c>
      <c r="C4" s="25" t="str" cm="1">
        <f t="array" ref="C4">COUNT(Inputs!B2:B27)-SUMPRODUCT(--_xlfn.ISFORMULA(Inputs!B2:B27))&amp;" constants"</f>
        <v>26 constants</v>
      </c>
      <c r="D4" s="26" t="str">
        <f>IF(C4=B4,"PASS","FAIL")</f>
        <v>PASS</v>
      </c>
    </row>
    <row r="5" spans="1:4" x14ac:dyDescent="0.25">
      <c r="A5" s="1" t="s">
        <v>139</v>
      </c>
      <c r="B5" s="1" t="b">
        <v>1</v>
      </c>
      <c r="C5" s="27" t="b">
        <f>TOM_BEDS+CAR_BEDS+MES_BEDS&lt;=TOTAL_BEDS</f>
        <v>1</v>
      </c>
      <c r="D5" s="26" t="str">
        <f t="shared" si="0"/>
        <v>PASS</v>
      </c>
    </row>
    <row r="6" spans="1:4" x14ac:dyDescent="0.25">
      <c r="A6" s="1" t="s">
        <v>140</v>
      </c>
      <c r="B6" s="1" t="b">
        <v>1</v>
      </c>
      <c r="C6" s="27" t="b">
        <f>TOM_BEDS&lt;=TOM_MAX_BEDS</f>
        <v>1</v>
      </c>
      <c r="D6" s="26" t="str">
        <f t="shared" si="0"/>
        <v>PASS</v>
      </c>
    </row>
    <row r="7" spans="1:4" x14ac:dyDescent="0.25">
      <c r="A7" s="1" t="s">
        <v>141</v>
      </c>
      <c r="B7" s="1" t="b">
        <v>1</v>
      </c>
      <c r="C7" s="27" t="b">
        <f>CAR_BEDS&lt;=CAR_MAX_BEDS</f>
        <v>1</v>
      </c>
      <c r="D7" s="26" t="str">
        <f t="shared" si="0"/>
        <v>PASS</v>
      </c>
    </row>
    <row r="8" spans="1:4" x14ac:dyDescent="0.25">
      <c r="A8" s="1" t="s">
        <v>142</v>
      </c>
      <c r="B8" s="1" t="b">
        <v>1</v>
      </c>
      <c r="C8" s="27" t="b">
        <f>MES_BEDS&lt;=MES_MAX_BEDS</f>
        <v>1</v>
      </c>
      <c r="D8" s="26" t="str">
        <f t="shared" si="0"/>
        <v>PASS</v>
      </c>
    </row>
    <row r="9" spans="1:4" x14ac:dyDescent="0.25">
      <c r="A9" s="1" t="s">
        <v>143</v>
      </c>
      <c r="B9" s="1" t="b">
        <v>1</v>
      </c>
      <c r="C9" s="27" t="b">
        <f>TOM_BEDS&gt;=0</f>
        <v>1</v>
      </c>
      <c r="D9" s="26" t="str">
        <f t="shared" si="0"/>
        <v>PASS</v>
      </c>
    </row>
    <row r="10" spans="1:4" x14ac:dyDescent="0.25">
      <c r="A10" s="1" t="s">
        <v>144</v>
      </c>
      <c r="B10" s="1" t="b">
        <v>1</v>
      </c>
      <c r="C10" s="27" t="b">
        <f>CAR_BEDS&gt;=0</f>
        <v>1</v>
      </c>
      <c r="D10" s="26" t="str">
        <f t="shared" si="0"/>
        <v>PASS</v>
      </c>
    </row>
    <row r="11" spans="1:4" x14ac:dyDescent="0.25">
      <c r="A11" s="1" t="s">
        <v>145</v>
      </c>
      <c r="B11" s="1" t="b">
        <v>1</v>
      </c>
      <c r="C11" s="27" t="b">
        <f>MES_BEDS&gt;=0</f>
        <v>1</v>
      </c>
      <c r="D11" s="26" t="str">
        <f t="shared" si="0"/>
        <v>PASS</v>
      </c>
    </row>
    <row r="12" spans="1:4" x14ac:dyDescent="0.25">
      <c r="A12" s="1" t="s">
        <v>146</v>
      </c>
      <c r="B12" s="1">
        <v>10</v>
      </c>
      <c r="C12" s="27">
        <f>IF(Optimization!B21="RUN",OPT_TOM_BEDS,"NOT EVALUATED")</f>
        <v>10</v>
      </c>
      <c r="D12" s="26" t="str">
        <f>IF(C12="NOT EVALUATED","NOT EVALUATED",IF(C12=B12,"PASS","FAIL"))</f>
        <v>PASS</v>
      </c>
    </row>
    <row r="13" spans="1:4" x14ac:dyDescent="0.25">
      <c r="A13" s="1" t="s">
        <v>147</v>
      </c>
      <c r="B13" s="1">
        <v>20</v>
      </c>
      <c r="C13" s="27">
        <f>IF(Optimization!B21="RUN",OPT_CAR_BEDS,"NOT EVALUATED")</f>
        <v>20</v>
      </c>
      <c r="D13" s="26" t="str">
        <f>IF(C13="NOT EVALUATED","NOT EVALUATED",IF(C13=B13,"PASS","FAIL"))</f>
        <v>PASS</v>
      </c>
    </row>
    <row r="14" spans="1:4" x14ac:dyDescent="0.25">
      <c r="A14" s="1" t="s">
        <v>148</v>
      </c>
      <c r="B14" s="1">
        <v>30</v>
      </c>
      <c r="C14" s="27">
        <f>IF(Optimization!B21="RUN",OPT_MES_BEDS,"NOT EVALUATED")</f>
        <v>30</v>
      </c>
      <c r="D14" s="26" t="str">
        <f>IF(C14="NOT EVALUATED","NOT EVALUATED",IF(C14=B14,"PASS","FAIL"))</f>
        <v>PASS</v>
      </c>
    </row>
    <row r="15" spans="1:4" x14ac:dyDescent="0.25">
      <c r="A15" s="1" t="s">
        <v>149</v>
      </c>
      <c r="B15" s="1" t="s">
        <v>150</v>
      </c>
      <c r="C15" s="18">
        <f>IF(Optimization!B21="RUN",TOTAL_PROFIT,"NOT EVALUATED")</f>
        <v>42761.664682811621</v>
      </c>
      <c r="D15" s="26" t="str">
        <f>IF(C15="NOT EVALUATED","NOT EVALUATED",IF(ABS(C15-42762)&lt;=5,"PASS","FAIL"))</f>
        <v>PASS</v>
      </c>
    </row>
    <row r="16" spans="1:4" x14ac:dyDescent="0.25">
      <c r="A16" s="1" t="s">
        <v>151</v>
      </c>
      <c r="B16" s="1" t="s">
        <v>152</v>
      </c>
      <c r="C16" s="28">
        <f>MCSchedules!B4</f>
        <v>99.000000000000014</v>
      </c>
      <c r="D16" s="26" t="str">
        <f>IF(ABS(C16-B16)&lt;0.000001,"PASS","FAIL")</f>
        <v>PASS</v>
      </c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ht="16.5" x14ac:dyDescent="0.25">
      <c r="A19" s="30" t="s">
        <v>153</v>
      </c>
      <c r="B19" s="30"/>
      <c r="C19" s="30"/>
      <c r="D19" s="30"/>
    </row>
    <row r="20" spans="1:4" x14ac:dyDescent="0.25">
      <c r="A20" s="2" t="s">
        <v>154</v>
      </c>
      <c r="B20" s="2" t="s">
        <v>155</v>
      </c>
      <c r="C20" s="2" t="s">
        <v>156</v>
      </c>
      <c r="D20" s="2" t="s">
        <v>157</v>
      </c>
    </row>
    <row r="21" spans="1:4" ht="42" customHeight="1" x14ac:dyDescent="0.25">
      <c r="A21" s="29" t="s">
        <v>158</v>
      </c>
      <c r="B21" s="29" t="s">
        <v>159</v>
      </c>
      <c r="C21" s="29" t="s">
        <v>160</v>
      </c>
      <c r="D21" s="29" t="s">
        <v>161</v>
      </c>
    </row>
    <row r="22" spans="1:4" ht="42" customHeight="1" x14ac:dyDescent="0.25">
      <c r="A22" s="29" t="s">
        <v>162</v>
      </c>
      <c r="B22" s="29" t="s">
        <v>163</v>
      </c>
      <c r="C22" s="29" t="s">
        <v>164</v>
      </c>
      <c r="D22" s="29" t="s">
        <v>165</v>
      </c>
    </row>
    <row r="23" spans="1:4" ht="42" customHeight="1" x14ac:dyDescent="0.25">
      <c r="A23" s="29" t="s">
        <v>166</v>
      </c>
      <c r="B23" s="29" t="s">
        <v>167</v>
      </c>
      <c r="C23" s="29" t="s">
        <v>168</v>
      </c>
      <c r="D23" s="29" t="s">
        <v>165</v>
      </c>
    </row>
    <row r="24" spans="1:4" ht="42" customHeight="1" x14ac:dyDescent="0.25">
      <c r="A24" s="29" t="s">
        <v>169</v>
      </c>
      <c r="B24" s="29" t="s">
        <v>170</v>
      </c>
      <c r="C24" s="29" t="s">
        <v>171</v>
      </c>
      <c r="D24" s="29" t="s">
        <v>165</v>
      </c>
    </row>
    <row r="25" spans="1:4" ht="42" customHeight="1" x14ac:dyDescent="0.25">
      <c r="A25" s="29" t="s">
        <v>172</v>
      </c>
      <c r="B25" s="29" t="s">
        <v>173</v>
      </c>
      <c r="C25" s="29" t="s">
        <v>174</v>
      </c>
      <c r="D25" s="29" t="s">
        <v>165</v>
      </c>
    </row>
    <row r="26" spans="1:4" ht="42" customHeight="1" x14ac:dyDescent="0.25">
      <c r="A26" s="29" t="s">
        <v>175</v>
      </c>
      <c r="B26" s="29" t="s">
        <v>176</v>
      </c>
      <c r="C26" s="29" t="s">
        <v>177</v>
      </c>
      <c r="D26" s="29" t="s">
        <v>178</v>
      </c>
    </row>
  </sheetData>
  <mergeCells count="1">
    <mergeCell ref="A19:D19"/>
  </mergeCells>
  <conditionalFormatting sqref="D2:D16">
    <cfRule type="expression" dxfId="2" priority="2">
      <formula>D2="PASS"</formula>
    </cfRule>
    <cfRule type="expression" dxfId="1" priority="3">
      <formula>D2="FAIL"</formula>
    </cfRule>
    <cfRule type="expression" dxfId="0" priority="4">
      <formula>D2="NOT EVALUATED"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50</vt:i4>
      </vt:variant>
    </vt:vector>
  </HeadingPairs>
  <TitlesOfParts>
    <vt:vector size="55" baseType="lpstr">
      <vt:lpstr>Inputs</vt:lpstr>
      <vt:lpstr>CostStructure</vt:lpstr>
      <vt:lpstr>MCSchedules</vt:lpstr>
      <vt:lpstr>Optimization</vt:lpstr>
      <vt:lpstr>Checks</vt:lpstr>
      <vt:lpstr>BED_FIXED_COST</vt:lpstr>
      <vt:lpstr>BLENDED_LABOR_RATE</vt:lpstr>
      <vt:lpstr>CAR_BEDS</vt:lpstr>
      <vt:lpstr>CAR_DIM_PCT</vt:lpstr>
      <vt:lpstr>CAR_FERT_COST</vt:lpstr>
      <vt:lpstr>CAR_HRS</vt:lpstr>
      <vt:lpstr>CAR_MAX_BEDS</vt:lpstr>
      <vt:lpstr>CAR_PRICE</vt:lpstr>
      <vt:lpstr>FARMER_HOURS</vt:lpstr>
      <vt:lpstr>FARMER_HOURS_USED</vt:lpstr>
      <vt:lpstr>FARMER_LABOR_COST</vt:lpstr>
      <vt:lpstr>FARMER_RATE</vt:lpstr>
      <vt:lpstr>FARMER_SALARY</vt:lpstr>
      <vt:lpstr>FARMER_SEASON_HRS</vt:lpstr>
      <vt:lpstr>MAX_TEMP_WORKERS</vt:lpstr>
      <vt:lpstr>MES_BEDS</vt:lpstr>
      <vt:lpstr>MES_DIM_PCT</vt:lpstr>
      <vt:lpstr>MES_FERT_COST</vt:lpstr>
      <vt:lpstr>MES_HRS</vt:lpstr>
      <vt:lpstr>MES_MAX_BEDS</vt:lpstr>
      <vt:lpstr>MES_PRICE</vt:lpstr>
      <vt:lpstr>OPT_CAR_BEDS</vt:lpstr>
      <vt:lpstr>OPT_MES_BEDS</vt:lpstr>
      <vt:lpstr>OPT_TOM_BEDS</vt:lpstr>
      <vt:lpstr>SEASON_WEEKS</vt:lpstr>
      <vt:lpstr>TEMP_COST_EACH</vt:lpstr>
      <vt:lpstr>TEMP_HOURS_USED</vt:lpstr>
      <vt:lpstr>TEMP_LABOR_COST</vt:lpstr>
      <vt:lpstr>TEMP_RATE</vt:lpstr>
      <vt:lpstr>TEMP_WORKER_HOURS</vt:lpstr>
      <vt:lpstr>TEMP_WORKERS_USED</vt:lpstr>
      <vt:lpstr>TEMP_WORKERS_USED_CALC</vt:lpstr>
      <vt:lpstr>TOM_BEDS</vt:lpstr>
      <vt:lpstr>TOM_DIM_PCT</vt:lpstr>
      <vt:lpstr>TOM_FERT_COST</vt:lpstr>
      <vt:lpstr>TOM_HRS</vt:lpstr>
      <vt:lpstr>TOM_MAX_BEDS</vt:lpstr>
      <vt:lpstr>TOM_PRICE</vt:lpstr>
      <vt:lpstr>TOTAL_BEDS</vt:lpstr>
      <vt:lpstr>TOTAL_FERTILIZER_COST</vt:lpstr>
      <vt:lpstr>TOTAL_FIXED_COST</vt:lpstr>
      <vt:lpstr>TOTAL_LABOR_AVAILABLE</vt:lpstr>
      <vt:lpstr>TOTAL_LABOR_COST</vt:lpstr>
      <vt:lpstr>TOTAL_LABOR_HRS</vt:lpstr>
      <vt:lpstr>TOTAL_LABOR_USED</vt:lpstr>
      <vt:lpstr>TOTAL_PROFIT</vt:lpstr>
      <vt:lpstr>TOTAL_REVENUE</vt:lpstr>
      <vt:lpstr>TOTAL_VARIABLE_COST</vt:lpstr>
      <vt:lpstr>UNUSED_BEDS</vt:lpstr>
      <vt:lpstr>UNUSED_LABOR_HOURS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Wade Okumura</dc:creator>
  <cp:keywords/>
  <dc:description/>
  <cp:lastModifiedBy>Wade Okumura</cp:lastModifiedBy>
  <cp:revision>0</cp:revision>
  <dcterms:created xsi:type="dcterms:W3CDTF">2026-09-07T23:50:30Z</dcterms:created>
  <dcterms:modified xsi:type="dcterms:W3CDTF">2026-09-13T05:50:53Z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