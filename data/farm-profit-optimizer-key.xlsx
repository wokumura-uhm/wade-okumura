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laskaair-my.sharepoint.com/personal/wade_okumura_alaskaair_com/Documents/Documents/GitHub/shidler/courses/Micro-And-Macro-Economics/projects/in-progress/perfect-competition-marginal-costs/"/>
    </mc:Choice>
  </mc:AlternateContent>
  <xr:revisionPtr revIDLastSave="27" documentId="11_3E314D4C9A0B03CBAC3AFE1789FD66A80DD37F83" xr6:coauthVersionLast="47" xr6:coauthVersionMax="47" xr10:uidLastSave="{6F4B41A0-F73A-4541-A01A-A829A24770C4}"/>
  <bookViews>
    <workbookView xWindow="-110" yWindow="-110" windowWidth="19420" windowHeight="11500" tabRatio="500" activeTab="1" xr2:uid="{00000000-000D-0000-FFFF-FFFF00000000}"/>
  </bookViews>
  <sheets>
    <sheet name="README" sheetId="1" r:id="rId1"/>
    <sheet name="Model" sheetId="2" r:id="rId2"/>
    <sheet name="MC Schedules" sheetId="3" r:id="rId3"/>
  </sheets>
  <definedNames>
    <definedName name="beds_max">Model!$C$15</definedName>
    <definedName name="beds_total">Model!$C$35</definedName>
    <definedName name="costs_fixed">Model!$C$6</definedName>
    <definedName name="costs_total">Model!$C$47</definedName>
    <definedName name="dim_carrot">Model!$G$21</definedName>
    <definedName name="dim_mesclun">Model!$G$22</definedName>
    <definedName name="dim_tomato">Model!$G$20</definedName>
    <definedName name="fert_carrot">Model!$F$21</definedName>
    <definedName name="fert_mesclun">Model!$F$22</definedName>
    <definedName name="fert_tomato">Model!$F$20</definedName>
    <definedName name="hrs_total">Model!$E$35</definedName>
    <definedName name="labor_cost_total">Model!$C$41</definedName>
    <definedName name="labor_hrs_season">Model!$C$8</definedName>
    <definedName name="labor_hrs_week">Model!$C$7</definedName>
    <definedName name="laborwk_carrot">Model!$E$21</definedName>
    <definedName name="laborwk_mesclun">Model!$E$22</definedName>
    <definedName name="laborwk_tomato">Model!$E$20</definedName>
    <definedName name="max_carrot">Model!$C$21</definedName>
    <definedName name="max_mesclun">Model!$C$22</definedName>
    <definedName name="max_tomato">Model!$C$20</definedName>
    <definedName name="perm_field_hrs">Model!$F$11</definedName>
    <definedName name="perm_used">Model!$C$38</definedName>
    <definedName name="price_carrot">Model!$D$21</definedName>
    <definedName name="price_mesclun">Model!$D$22</definedName>
    <definedName name="price_tomato">Model!$D$20</definedName>
    <definedName name="profit_total">Model!$C$48</definedName>
    <definedName name="q_carrot">Model!$C$27</definedName>
    <definedName name="q_mesclun">Model!$C$28</definedName>
    <definedName name="q_tomato">Model!$C$26</definedName>
    <definedName name="rev_total">Model!$D$35</definedName>
    <definedName name="season_wks">Model!$C$5</definedName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Model!$C$26</definedName>
    <definedName name="solver_typ" localSheetId="1" hidden="1">1</definedName>
    <definedName name="solver_val" localSheetId="1" hidden="1">0</definedName>
    <definedName name="solver_ver" localSheetId="1" hidden="1">3</definedName>
    <definedName name="temp_hrs">Model!$C$39</definedName>
    <definedName name="temp_hrs_each">Model!$F$12</definedName>
    <definedName name="temp_max">Model!$C$16</definedName>
    <definedName name="temp_needed">Model!$C$40</definedName>
    <definedName name="wage_perm">Model!$E$11</definedName>
    <definedName name="wage_temp">Model!$E$12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86" i="3" l="1"/>
  <c r="O86" i="3"/>
  <c r="H86" i="3"/>
  <c r="C86" i="3"/>
  <c r="P85" i="3"/>
  <c r="O85" i="3"/>
  <c r="H85" i="3"/>
  <c r="P84" i="3"/>
  <c r="O84" i="3"/>
  <c r="H84" i="3"/>
  <c r="P83" i="3"/>
  <c r="O83" i="3"/>
  <c r="H83" i="3"/>
  <c r="C83" i="3"/>
  <c r="P82" i="3"/>
  <c r="O82" i="3"/>
  <c r="H82" i="3"/>
  <c r="C82" i="3"/>
  <c r="P81" i="3"/>
  <c r="O81" i="3"/>
  <c r="H81" i="3"/>
  <c r="C81" i="3"/>
  <c r="P80" i="3"/>
  <c r="O80" i="3"/>
  <c r="H80" i="3"/>
  <c r="P79" i="3"/>
  <c r="O79" i="3"/>
  <c r="H79" i="3"/>
  <c r="C79" i="3"/>
  <c r="P78" i="3"/>
  <c r="O78" i="3"/>
  <c r="H78" i="3"/>
  <c r="P77" i="3"/>
  <c r="O77" i="3"/>
  <c r="H77" i="3"/>
  <c r="C77" i="3"/>
  <c r="D77" i="3" s="1"/>
  <c r="P76" i="3"/>
  <c r="O76" i="3"/>
  <c r="H76" i="3"/>
  <c r="P75" i="3"/>
  <c r="O75" i="3"/>
  <c r="H75" i="3"/>
  <c r="P74" i="3"/>
  <c r="O74" i="3"/>
  <c r="H74" i="3"/>
  <c r="P73" i="3"/>
  <c r="O73" i="3"/>
  <c r="H73" i="3"/>
  <c r="C73" i="3"/>
  <c r="P72" i="3"/>
  <c r="O72" i="3"/>
  <c r="H72" i="3"/>
  <c r="C72" i="3"/>
  <c r="P71" i="3"/>
  <c r="O71" i="3"/>
  <c r="H71" i="3"/>
  <c r="P70" i="3"/>
  <c r="O70" i="3"/>
  <c r="H70" i="3"/>
  <c r="C70" i="3"/>
  <c r="P69" i="3"/>
  <c r="O69" i="3"/>
  <c r="H69" i="3"/>
  <c r="C69" i="3"/>
  <c r="P68" i="3"/>
  <c r="O68" i="3"/>
  <c r="H68" i="3"/>
  <c r="C68" i="3"/>
  <c r="D68" i="3" s="1"/>
  <c r="P67" i="3"/>
  <c r="O67" i="3"/>
  <c r="H67" i="3"/>
  <c r="C67" i="3"/>
  <c r="P66" i="3"/>
  <c r="O66" i="3"/>
  <c r="H66" i="3"/>
  <c r="P65" i="3"/>
  <c r="O65" i="3"/>
  <c r="H65" i="3"/>
  <c r="C65" i="3"/>
  <c r="P64" i="3"/>
  <c r="O64" i="3"/>
  <c r="H64" i="3"/>
  <c r="P63" i="3"/>
  <c r="O63" i="3"/>
  <c r="H63" i="3"/>
  <c r="C63" i="3"/>
  <c r="P62" i="3"/>
  <c r="O62" i="3"/>
  <c r="H62" i="3"/>
  <c r="P61" i="3"/>
  <c r="O61" i="3"/>
  <c r="H61" i="3"/>
  <c r="C61" i="3"/>
  <c r="P60" i="3"/>
  <c r="O60" i="3"/>
  <c r="H60" i="3"/>
  <c r="P59" i="3"/>
  <c r="O59" i="3"/>
  <c r="H59" i="3"/>
  <c r="D59" i="3"/>
  <c r="C59" i="3"/>
  <c r="P58" i="3"/>
  <c r="O58" i="3"/>
  <c r="H58" i="3"/>
  <c r="C58" i="3"/>
  <c r="P57" i="3"/>
  <c r="O57" i="3"/>
  <c r="H57" i="3"/>
  <c r="H56" i="3"/>
  <c r="P51" i="3"/>
  <c r="O51" i="3"/>
  <c r="H51" i="3"/>
  <c r="P50" i="3"/>
  <c r="O50" i="3"/>
  <c r="H50" i="3"/>
  <c r="P49" i="3"/>
  <c r="O49" i="3"/>
  <c r="H49" i="3"/>
  <c r="P48" i="3"/>
  <c r="O48" i="3"/>
  <c r="H48" i="3"/>
  <c r="C48" i="3"/>
  <c r="P47" i="3"/>
  <c r="O47" i="3"/>
  <c r="H47" i="3"/>
  <c r="P46" i="3"/>
  <c r="O46" i="3"/>
  <c r="H46" i="3"/>
  <c r="P45" i="3"/>
  <c r="O45" i="3"/>
  <c r="H45" i="3"/>
  <c r="P44" i="3"/>
  <c r="O44" i="3"/>
  <c r="H44" i="3"/>
  <c r="P43" i="3"/>
  <c r="O43" i="3"/>
  <c r="H43" i="3"/>
  <c r="P42" i="3"/>
  <c r="O42" i="3"/>
  <c r="H42" i="3"/>
  <c r="P41" i="3"/>
  <c r="O41" i="3"/>
  <c r="H41" i="3"/>
  <c r="C41" i="3"/>
  <c r="P40" i="3"/>
  <c r="O40" i="3"/>
  <c r="H40" i="3"/>
  <c r="P39" i="3"/>
  <c r="O39" i="3"/>
  <c r="H39" i="3"/>
  <c r="C39" i="3"/>
  <c r="P38" i="3"/>
  <c r="O38" i="3"/>
  <c r="H38" i="3"/>
  <c r="P37" i="3"/>
  <c r="O37" i="3"/>
  <c r="H37" i="3"/>
  <c r="P36" i="3"/>
  <c r="O36" i="3"/>
  <c r="H36" i="3"/>
  <c r="P35" i="3"/>
  <c r="O35" i="3"/>
  <c r="H35" i="3"/>
  <c r="C35" i="3"/>
  <c r="P34" i="3"/>
  <c r="O34" i="3"/>
  <c r="H34" i="3"/>
  <c r="P33" i="3"/>
  <c r="O33" i="3"/>
  <c r="H33" i="3"/>
  <c r="C33" i="3"/>
  <c r="P32" i="3"/>
  <c r="O32" i="3"/>
  <c r="H32" i="3"/>
  <c r="H31" i="3"/>
  <c r="P26" i="3"/>
  <c r="O26" i="3"/>
  <c r="H26" i="3"/>
  <c r="D26" i="3"/>
  <c r="E26" i="3" s="1"/>
  <c r="C26" i="3"/>
  <c r="P25" i="3"/>
  <c r="O25" i="3"/>
  <c r="H25" i="3"/>
  <c r="C25" i="3"/>
  <c r="P24" i="3"/>
  <c r="O24" i="3"/>
  <c r="H24" i="3"/>
  <c r="G24" i="3"/>
  <c r="I24" i="3" s="1"/>
  <c r="D24" i="3"/>
  <c r="C24" i="3"/>
  <c r="E24" i="3" s="1"/>
  <c r="F24" i="3" s="1"/>
  <c r="N24" i="3" s="1"/>
  <c r="P23" i="3"/>
  <c r="O23" i="3"/>
  <c r="H23" i="3"/>
  <c r="D23" i="3"/>
  <c r="C23" i="3"/>
  <c r="P22" i="3"/>
  <c r="O22" i="3"/>
  <c r="H22" i="3"/>
  <c r="D22" i="3"/>
  <c r="C22" i="3"/>
  <c r="E22" i="3" s="1"/>
  <c r="P21" i="3"/>
  <c r="O21" i="3"/>
  <c r="I21" i="3"/>
  <c r="L21" i="3" s="1"/>
  <c r="H21" i="3"/>
  <c r="G21" i="3"/>
  <c r="D21" i="3"/>
  <c r="C21" i="3"/>
  <c r="E21" i="3" s="1"/>
  <c r="F21" i="3" s="1"/>
  <c r="P20" i="3"/>
  <c r="O20" i="3"/>
  <c r="H20" i="3"/>
  <c r="D20" i="3"/>
  <c r="G20" i="3" s="1"/>
  <c r="I20" i="3" s="1"/>
  <c r="C20" i="3"/>
  <c r="E20" i="3" s="1"/>
  <c r="F20" i="3" s="1"/>
  <c r="P19" i="3"/>
  <c r="O19" i="3"/>
  <c r="H19" i="3"/>
  <c r="C19" i="3"/>
  <c r="P18" i="3"/>
  <c r="O18" i="3"/>
  <c r="H18" i="3"/>
  <c r="C18" i="3"/>
  <c r="P17" i="3"/>
  <c r="O17" i="3"/>
  <c r="H17" i="3"/>
  <c r="C17" i="3"/>
  <c r="P16" i="3"/>
  <c r="O16" i="3"/>
  <c r="H16" i="3"/>
  <c r="D16" i="3"/>
  <c r="C16" i="3"/>
  <c r="P15" i="3"/>
  <c r="O15" i="3"/>
  <c r="H15" i="3"/>
  <c r="C15" i="3"/>
  <c r="P14" i="3"/>
  <c r="O14" i="3"/>
  <c r="H14" i="3"/>
  <c r="D14" i="3"/>
  <c r="C14" i="3"/>
  <c r="P13" i="3"/>
  <c r="O13" i="3"/>
  <c r="H13" i="3"/>
  <c r="C13" i="3"/>
  <c r="D13" i="3" s="1"/>
  <c r="P12" i="3"/>
  <c r="O12" i="3"/>
  <c r="H12" i="3"/>
  <c r="C12" i="3"/>
  <c r="P11" i="3"/>
  <c r="O11" i="3"/>
  <c r="H11" i="3"/>
  <c r="C11" i="3"/>
  <c r="P10" i="3"/>
  <c r="O10" i="3"/>
  <c r="H10" i="3"/>
  <c r="C10" i="3"/>
  <c r="P9" i="3"/>
  <c r="O9" i="3"/>
  <c r="H9" i="3"/>
  <c r="D9" i="3"/>
  <c r="C9" i="3"/>
  <c r="P8" i="3"/>
  <c r="O8" i="3"/>
  <c r="H8" i="3"/>
  <c r="C8" i="3"/>
  <c r="P7" i="3"/>
  <c r="O7" i="3"/>
  <c r="H7" i="3"/>
  <c r="C7" i="3"/>
  <c r="H6" i="3"/>
  <c r="C6" i="3"/>
  <c r="C46" i="2"/>
  <c r="G34" i="2"/>
  <c r="E34" i="2"/>
  <c r="D34" i="2"/>
  <c r="D35" i="2" s="1"/>
  <c r="C34" i="2"/>
  <c r="G33" i="2"/>
  <c r="D33" i="2"/>
  <c r="C33" i="2"/>
  <c r="G32" i="2"/>
  <c r="E32" i="2"/>
  <c r="D32" i="2"/>
  <c r="C32" i="2"/>
  <c r="C35" i="2" s="1"/>
  <c r="C49" i="2" s="1"/>
  <c r="E28" i="2"/>
  <c r="D28" i="2"/>
  <c r="E27" i="2"/>
  <c r="D27" i="2"/>
  <c r="E26" i="2"/>
  <c r="D26" i="2"/>
  <c r="E22" i="2"/>
  <c r="C74" i="3" s="1"/>
  <c r="E21" i="2"/>
  <c r="C47" i="3" s="1"/>
  <c r="F12" i="2"/>
  <c r="F26" i="3" s="1"/>
  <c r="N26" i="3" s="1"/>
  <c r="E12" i="2"/>
  <c r="F11" i="2"/>
  <c r="E11" i="2"/>
  <c r="C8" i="2"/>
  <c r="G14" i="3" l="1"/>
  <c r="I14" i="3" s="1"/>
  <c r="G77" i="3"/>
  <c r="I77" i="3" s="1"/>
  <c r="C44" i="2"/>
  <c r="E73" i="3"/>
  <c r="F73" i="3" s="1"/>
  <c r="G9" i="3"/>
  <c r="I9" i="3" s="1"/>
  <c r="L24" i="3"/>
  <c r="J24" i="3"/>
  <c r="L20" i="3"/>
  <c r="J20" i="3"/>
  <c r="C51" i="3"/>
  <c r="E79" i="3"/>
  <c r="F79" i="3" s="1"/>
  <c r="D82" i="3"/>
  <c r="E23" i="3"/>
  <c r="F23" i="3" s="1"/>
  <c r="N23" i="3" s="1"/>
  <c r="E70" i="3"/>
  <c r="F70" i="3" s="1"/>
  <c r="D70" i="3"/>
  <c r="J21" i="3"/>
  <c r="D35" i="3"/>
  <c r="E68" i="3"/>
  <c r="F68" i="3" s="1"/>
  <c r="E48" i="3"/>
  <c r="F48" i="3" s="1"/>
  <c r="D6" i="3"/>
  <c r="E6" i="3" s="1"/>
  <c r="F6" i="3" s="1"/>
  <c r="E17" i="3"/>
  <c r="F17" i="3" s="1"/>
  <c r="D48" i="3"/>
  <c r="E15" i="3"/>
  <c r="F15" i="3" s="1"/>
  <c r="D15" i="3"/>
  <c r="D17" i="3"/>
  <c r="F22" i="3"/>
  <c r="N22" i="3" s="1"/>
  <c r="D58" i="3"/>
  <c r="D73" i="3"/>
  <c r="D7" i="3"/>
  <c r="E12" i="3"/>
  <c r="F12" i="3" s="1"/>
  <c r="G22" i="3"/>
  <c r="I22" i="3" s="1"/>
  <c r="C36" i="3"/>
  <c r="E35" i="2"/>
  <c r="D12" i="3"/>
  <c r="E19" i="3"/>
  <c r="F19" i="3" s="1"/>
  <c r="D19" i="3"/>
  <c r="E77" i="3"/>
  <c r="F77" i="3" s="1"/>
  <c r="E9" i="3"/>
  <c r="F9" i="3" s="1"/>
  <c r="E14" i="3"/>
  <c r="F14" i="3" s="1"/>
  <c r="D10" i="3"/>
  <c r="C42" i="3"/>
  <c r="E81" i="3"/>
  <c r="F81" i="3" s="1"/>
  <c r="E13" i="3"/>
  <c r="F13" i="3" s="1"/>
  <c r="E8" i="3"/>
  <c r="F8" i="3" s="1"/>
  <c r="D8" i="3"/>
  <c r="C31" i="3"/>
  <c r="C40" i="3"/>
  <c r="C44" i="3"/>
  <c r="C45" i="3"/>
  <c r="E33" i="2"/>
  <c r="C46" i="3"/>
  <c r="C32" i="3"/>
  <c r="C38" i="3"/>
  <c r="C49" i="3"/>
  <c r="C43" i="3"/>
  <c r="C37" i="3"/>
  <c r="C34" i="3"/>
  <c r="C50" i="3"/>
  <c r="E16" i="3"/>
  <c r="F16" i="3" s="1"/>
  <c r="E59" i="3"/>
  <c r="F59" i="3" s="1"/>
  <c r="E61" i="3"/>
  <c r="F61" i="3" s="1"/>
  <c r="D61" i="3"/>
  <c r="G26" i="3"/>
  <c r="I26" i="3" s="1"/>
  <c r="D86" i="3"/>
  <c r="E86" i="3" s="1"/>
  <c r="F86" i="3" s="1"/>
  <c r="N86" i="3" s="1"/>
  <c r="D79" i="3"/>
  <c r="D65" i="3"/>
  <c r="D41" i="3"/>
  <c r="D80" i="3"/>
  <c r="D66" i="3"/>
  <c r="D85" i="3"/>
  <c r="D71" i="3"/>
  <c r="D45" i="3"/>
  <c r="D46" i="3"/>
  <c r="D32" i="3"/>
  <c r="D81" i="3"/>
  <c r="D67" i="3"/>
  <c r="D47" i="3"/>
  <c r="D33" i="3"/>
  <c r="D83" i="3"/>
  <c r="D69" i="3"/>
  <c r="D39" i="3"/>
  <c r="E11" i="3"/>
  <c r="F11" i="3" s="1"/>
  <c r="E18" i="3"/>
  <c r="F18" i="3" s="1"/>
  <c r="E25" i="3"/>
  <c r="F25" i="3" s="1"/>
  <c r="N25" i="3" s="1"/>
  <c r="G35" i="2"/>
  <c r="D11" i="3"/>
  <c r="D18" i="3"/>
  <c r="D25" i="3"/>
  <c r="D40" i="3"/>
  <c r="D63" i="3"/>
  <c r="D72" i="3"/>
  <c r="D74" i="3"/>
  <c r="C56" i="3"/>
  <c r="C64" i="3"/>
  <c r="C78" i="3"/>
  <c r="C62" i="3"/>
  <c r="D62" i="3" s="1"/>
  <c r="C76" i="3"/>
  <c r="C57" i="3"/>
  <c r="D57" i="3" s="1"/>
  <c r="C71" i="3"/>
  <c r="C85" i="3"/>
  <c r="C66" i="3"/>
  <c r="C80" i="3"/>
  <c r="C75" i="3"/>
  <c r="C84" i="3"/>
  <c r="D84" i="3" s="1"/>
  <c r="C60" i="3"/>
  <c r="G12" i="3" l="1"/>
  <c r="I12" i="3" s="1"/>
  <c r="G48" i="3"/>
  <c r="I48" i="3" s="1"/>
  <c r="M24" i="3"/>
  <c r="D56" i="3"/>
  <c r="G39" i="3"/>
  <c r="I39" i="3" s="1"/>
  <c r="G71" i="3"/>
  <c r="I71" i="3" s="1"/>
  <c r="G8" i="3"/>
  <c r="I8" i="3" s="1"/>
  <c r="D64" i="3"/>
  <c r="L9" i="3"/>
  <c r="J9" i="3"/>
  <c r="L22" i="3"/>
  <c r="J22" i="3"/>
  <c r="E63" i="3"/>
  <c r="F63" i="3" s="1"/>
  <c r="G40" i="3"/>
  <c r="I40" i="3" s="1"/>
  <c r="D42" i="3"/>
  <c r="E42" i="3" s="1"/>
  <c r="F42" i="3" s="1"/>
  <c r="G67" i="3"/>
  <c r="I67" i="3" s="1"/>
  <c r="D31" i="3"/>
  <c r="G73" i="3"/>
  <c r="I73" i="3" s="1"/>
  <c r="D51" i="3"/>
  <c r="G65" i="3"/>
  <c r="I65" i="3" s="1"/>
  <c r="E67" i="3"/>
  <c r="F67" i="3" s="1"/>
  <c r="E65" i="3"/>
  <c r="F65" i="3" s="1"/>
  <c r="D50" i="3"/>
  <c r="D36" i="3"/>
  <c r="G6" i="3"/>
  <c r="I6" i="3" s="1"/>
  <c r="J6" i="3" s="1"/>
  <c r="M6" i="3" s="1"/>
  <c r="E74" i="3"/>
  <c r="F74" i="3" s="1"/>
  <c r="D60" i="3"/>
  <c r="G66" i="3"/>
  <c r="I66" i="3" s="1"/>
  <c r="E84" i="3"/>
  <c r="F84" i="3" s="1"/>
  <c r="G33" i="3"/>
  <c r="I33" i="3" s="1"/>
  <c r="D37" i="3"/>
  <c r="E37" i="3"/>
  <c r="F37" i="3" s="1"/>
  <c r="E75" i="3"/>
  <c r="F75" i="3" s="1"/>
  <c r="D75" i="3"/>
  <c r="D43" i="3"/>
  <c r="G59" i="3"/>
  <c r="I59" i="3" s="1"/>
  <c r="E80" i="3"/>
  <c r="F80" i="3" s="1"/>
  <c r="D34" i="3"/>
  <c r="D49" i="3"/>
  <c r="E49" i="3" s="1"/>
  <c r="F49" i="3" s="1"/>
  <c r="G10" i="3"/>
  <c r="I10" i="3" s="1"/>
  <c r="G35" i="3"/>
  <c r="I35" i="3" s="1"/>
  <c r="L77" i="3"/>
  <c r="J77" i="3"/>
  <c r="E66" i="3"/>
  <c r="F66" i="3" s="1"/>
  <c r="G25" i="3"/>
  <c r="I25" i="3" s="1"/>
  <c r="G81" i="3"/>
  <c r="I81" i="3" s="1"/>
  <c r="D38" i="3"/>
  <c r="E38" i="3"/>
  <c r="F38" i="3" s="1"/>
  <c r="M21" i="3"/>
  <c r="K21" i="3"/>
  <c r="G16" i="3"/>
  <c r="I16" i="3" s="1"/>
  <c r="E69" i="3"/>
  <c r="F69" i="3" s="1"/>
  <c r="E85" i="3"/>
  <c r="F85" i="3" s="1"/>
  <c r="G18" i="3"/>
  <c r="I18" i="3" s="1"/>
  <c r="E32" i="3"/>
  <c r="F32" i="3" s="1"/>
  <c r="E10" i="3"/>
  <c r="F10" i="3" s="1"/>
  <c r="M20" i="3"/>
  <c r="E71" i="3"/>
  <c r="F71" i="3" s="1"/>
  <c r="G11" i="3"/>
  <c r="I11" i="3" s="1"/>
  <c r="G79" i="3"/>
  <c r="I79" i="3" s="1"/>
  <c r="E46" i="3"/>
  <c r="F46" i="3" s="1"/>
  <c r="E7" i="3"/>
  <c r="F7" i="3" s="1"/>
  <c r="G68" i="3"/>
  <c r="I68" i="3" s="1"/>
  <c r="E47" i="3"/>
  <c r="F47" i="3" s="1"/>
  <c r="E57" i="3"/>
  <c r="F57" i="3" s="1"/>
  <c r="G86" i="3"/>
  <c r="I86" i="3" s="1"/>
  <c r="E58" i="3"/>
  <c r="F58" i="3" s="1"/>
  <c r="E35" i="3"/>
  <c r="F35" i="3" s="1"/>
  <c r="E39" i="3"/>
  <c r="F39" i="3" s="1"/>
  <c r="E72" i="3"/>
  <c r="F72" i="3" s="1"/>
  <c r="D76" i="3"/>
  <c r="E76" i="3" s="1"/>
  <c r="F76" i="3" s="1"/>
  <c r="L26" i="3"/>
  <c r="J26" i="3"/>
  <c r="E45" i="3"/>
  <c r="F45" i="3" s="1"/>
  <c r="G17" i="3"/>
  <c r="I17" i="3" s="1"/>
  <c r="E33" i="3"/>
  <c r="F33" i="3" s="1"/>
  <c r="E82" i="3"/>
  <c r="F82" i="3" s="1"/>
  <c r="L14" i="3"/>
  <c r="J14" i="3"/>
  <c r="E62" i="3"/>
  <c r="F62" i="3" s="1"/>
  <c r="C38" i="2"/>
  <c r="G61" i="3"/>
  <c r="I61" i="3" s="1"/>
  <c r="D44" i="3"/>
  <c r="E44" i="3" s="1"/>
  <c r="F44" i="3" s="1"/>
  <c r="G19" i="3"/>
  <c r="I19" i="3" s="1"/>
  <c r="G15" i="3"/>
  <c r="I15" i="3" s="1"/>
  <c r="G23" i="3"/>
  <c r="I23" i="3" s="1"/>
  <c r="E41" i="3"/>
  <c r="F41" i="3" s="1"/>
  <c r="E83" i="3"/>
  <c r="F83" i="3" s="1"/>
  <c r="D78" i="3"/>
  <c r="E40" i="3"/>
  <c r="F40" i="3" s="1"/>
  <c r="G70" i="3"/>
  <c r="I70" i="3" s="1"/>
  <c r="G13" i="3"/>
  <c r="I13" i="3" s="1"/>
  <c r="M9" i="3" l="1"/>
  <c r="K9" i="3"/>
  <c r="L71" i="3"/>
  <c r="J71" i="3"/>
  <c r="L68" i="3"/>
  <c r="J68" i="3"/>
  <c r="L35" i="3"/>
  <c r="J35" i="3"/>
  <c r="L67" i="3"/>
  <c r="J67" i="3"/>
  <c r="L39" i="3"/>
  <c r="J39" i="3"/>
  <c r="G56" i="3"/>
  <c r="I56" i="3" s="1"/>
  <c r="J56" i="3" s="1"/>
  <c r="M56" i="3" s="1"/>
  <c r="M26" i="3"/>
  <c r="L16" i="3"/>
  <c r="J16" i="3"/>
  <c r="E56" i="3"/>
  <c r="F56" i="3" s="1"/>
  <c r="L13" i="3"/>
  <c r="J13" i="3"/>
  <c r="G74" i="3"/>
  <c r="I74" i="3" s="1"/>
  <c r="L70" i="3"/>
  <c r="J70" i="3"/>
  <c r="L79" i="3"/>
  <c r="J79" i="3"/>
  <c r="L33" i="3"/>
  <c r="J33" i="3"/>
  <c r="E50" i="3"/>
  <c r="F50" i="3" s="1"/>
  <c r="G46" i="3"/>
  <c r="I46" i="3" s="1"/>
  <c r="G58" i="3"/>
  <c r="I58" i="3" s="1"/>
  <c r="G69" i="3"/>
  <c r="I69" i="3" s="1"/>
  <c r="G80" i="3"/>
  <c r="I80" i="3" s="1"/>
  <c r="E64" i="3"/>
  <c r="F64" i="3" s="1"/>
  <c r="L61" i="3"/>
  <c r="J61" i="3"/>
  <c r="L11" i="3"/>
  <c r="J11" i="3"/>
  <c r="L59" i="3"/>
  <c r="J59" i="3"/>
  <c r="G82" i="3"/>
  <c r="I82" i="3" s="1"/>
  <c r="L48" i="3"/>
  <c r="J48" i="3"/>
  <c r="G38" i="3"/>
  <c r="I38" i="3" s="1"/>
  <c r="G63" i="3"/>
  <c r="I63" i="3" s="1"/>
  <c r="C39" i="2"/>
  <c r="C40" i="2" s="1"/>
  <c r="D40" i="2" s="1"/>
  <c r="L12" i="3"/>
  <c r="J12" i="3"/>
  <c r="G41" i="3"/>
  <c r="I41" i="3" s="1"/>
  <c r="G7" i="3"/>
  <c r="I7" i="3" s="1"/>
  <c r="E31" i="3"/>
  <c r="F31" i="3" s="1"/>
  <c r="L17" i="3"/>
  <c r="J17" i="3"/>
  <c r="L23" i="3"/>
  <c r="J23" i="3"/>
  <c r="G36" i="3"/>
  <c r="I36" i="3" s="1"/>
  <c r="L15" i="3"/>
  <c r="J15" i="3"/>
  <c r="G85" i="3"/>
  <c r="I85" i="3" s="1"/>
  <c r="G37" i="3"/>
  <c r="I37" i="3" s="1"/>
  <c r="G44" i="3"/>
  <c r="I44" i="3" s="1"/>
  <c r="G45" i="3"/>
  <c r="I45" i="3" s="1"/>
  <c r="L81" i="3"/>
  <c r="J81" i="3"/>
  <c r="L66" i="3"/>
  <c r="J66" i="3"/>
  <c r="L65" i="3"/>
  <c r="J65" i="3"/>
  <c r="M22" i="3"/>
  <c r="K22" i="3"/>
  <c r="N21" i="3" s="1"/>
  <c r="L19" i="3"/>
  <c r="J19" i="3"/>
  <c r="G34" i="3"/>
  <c r="I34" i="3" s="1"/>
  <c r="M14" i="3"/>
  <c r="K14" i="3"/>
  <c r="L25" i="3"/>
  <c r="J25" i="3"/>
  <c r="K26" i="3" s="1"/>
  <c r="E43" i="3"/>
  <c r="F43" i="3" s="1"/>
  <c r="G83" i="3"/>
  <c r="I83" i="3" s="1"/>
  <c r="G84" i="3"/>
  <c r="I84" i="3" s="1"/>
  <c r="L18" i="3"/>
  <c r="J18" i="3"/>
  <c r="L10" i="3"/>
  <c r="J10" i="3"/>
  <c r="G49" i="3"/>
  <c r="I49" i="3" s="1"/>
  <c r="L40" i="3"/>
  <c r="J40" i="3"/>
  <c r="G76" i="3"/>
  <c r="I76" i="3" s="1"/>
  <c r="G47" i="3"/>
  <c r="I47" i="3" s="1"/>
  <c r="G60" i="3"/>
  <c r="I60" i="3" s="1"/>
  <c r="E51" i="3"/>
  <c r="F51" i="3" s="1"/>
  <c r="N51" i="3" s="1"/>
  <c r="E34" i="3"/>
  <c r="F34" i="3" s="1"/>
  <c r="L8" i="3"/>
  <c r="J8" i="3"/>
  <c r="G62" i="3"/>
  <c r="I62" i="3" s="1"/>
  <c r="G42" i="3"/>
  <c r="I42" i="3" s="1"/>
  <c r="E36" i="3"/>
  <c r="F36" i="3" s="1"/>
  <c r="L86" i="3"/>
  <c r="J86" i="3"/>
  <c r="E78" i="3"/>
  <c r="F78" i="3" s="1"/>
  <c r="G32" i="3"/>
  <c r="I32" i="3" s="1"/>
  <c r="M77" i="3"/>
  <c r="G75" i="3"/>
  <c r="I75" i="3" s="1"/>
  <c r="E60" i="3"/>
  <c r="F60" i="3" s="1"/>
  <c r="L73" i="3"/>
  <c r="J73" i="3"/>
  <c r="G72" i="3"/>
  <c r="I72" i="3" s="1"/>
  <c r="G57" i="3"/>
  <c r="I57" i="3" s="1"/>
  <c r="M68" i="3" l="1"/>
  <c r="K68" i="3"/>
  <c r="J36" i="3"/>
  <c r="L36" i="3"/>
  <c r="L63" i="3"/>
  <c r="J63" i="3"/>
  <c r="M11" i="3"/>
  <c r="K11" i="3"/>
  <c r="K33" i="3"/>
  <c r="M33" i="3"/>
  <c r="M86" i="3"/>
  <c r="K86" i="3"/>
  <c r="M66" i="3"/>
  <c r="K66" i="3"/>
  <c r="L60" i="3"/>
  <c r="J60" i="3"/>
  <c r="M23" i="3"/>
  <c r="K23" i="3"/>
  <c r="K24" i="3"/>
  <c r="L57" i="3"/>
  <c r="J57" i="3"/>
  <c r="L72" i="3"/>
  <c r="J72" i="3"/>
  <c r="G43" i="3"/>
  <c r="I43" i="3" s="1"/>
  <c r="J44" i="3"/>
  <c r="L44" i="3"/>
  <c r="L84" i="3"/>
  <c r="J84" i="3"/>
  <c r="J47" i="3"/>
  <c r="L47" i="3"/>
  <c r="G51" i="3"/>
  <c r="I51" i="3" s="1"/>
  <c r="M65" i="3"/>
  <c r="L83" i="3"/>
  <c r="J83" i="3"/>
  <c r="L38" i="3"/>
  <c r="J38" i="3"/>
  <c r="M61" i="3"/>
  <c r="K61" i="3"/>
  <c r="M79" i="3"/>
  <c r="M71" i="3"/>
  <c r="K71" i="3"/>
  <c r="M17" i="3"/>
  <c r="K17" i="3"/>
  <c r="G78" i="3"/>
  <c r="I78" i="3" s="1"/>
  <c r="M25" i="3"/>
  <c r="K25" i="3"/>
  <c r="M70" i="3"/>
  <c r="N9" i="3"/>
  <c r="M73" i="3"/>
  <c r="C41" i="2"/>
  <c r="L80" i="3"/>
  <c r="J80" i="3"/>
  <c r="L76" i="3"/>
  <c r="J76" i="3"/>
  <c r="M81" i="3"/>
  <c r="K81" i="3"/>
  <c r="L69" i="3"/>
  <c r="J69" i="3"/>
  <c r="K70" i="3" s="1"/>
  <c r="N70" i="3" s="1"/>
  <c r="L74" i="3"/>
  <c r="J74" i="3"/>
  <c r="M39" i="3"/>
  <c r="G31" i="3"/>
  <c r="I31" i="3" s="1"/>
  <c r="J31" i="3" s="1"/>
  <c r="M31" i="3" s="1"/>
  <c r="L42" i="3"/>
  <c r="J42" i="3"/>
  <c r="M40" i="3"/>
  <c r="K40" i="3"/>
  <c r="L7" i="3"/>
  <c r="J7" i="3"/>
  <c r="K8" i="3" s="1"/>
  <c r="N8" i="3" s="1"/>
  <c r="K48" i="3"/>
  <c r="M48" i="3"/>
  <c r="G50" i="3"/>
  <c r="I50" i="3" s="1"/>
  <c r="L75" i="3"/>
  <c r="J75" i="3"/>
  <c r="L34" i="3"/>
  <c r="J34" i="3"/>
  <c r="L45" i="3"/>
  <c r="J45" i="3"/>
  <c r="L41" i="3"/>
  <c r="J41" i="3"/>
  <c r="M67" i="3"/>
  <c r="K67" i="3"/>
  <c r="N67" i="3" s="1"/>
  <c r="L62" i="3"/>
  <c r="J62" i="3"/>
  <c r="L49" i="3"/>
  <c r="J49" i="3"/>
  <c r="M19" i="3"/>
  <c r="K19" i="3"/>
  <c r="N19" i="3" s="1"/>
  <c r="K20" i="3"/>
  <c r="N20" i="3" s="1"/>
  <c r="L58" i="3"/>
  <c r="J58" i="3"/>
  <c r="K59" i="3" s="1"/>
  <c r="M13" i="3"/>
  <c r="K13" i="3"/>
  <c r="N13" i="3" s="1"/>
  <c r="M8" i="3"/>
  <c r="M10" i="3"/>
  <c r="K10" i="3"/>
  <c r="N10" i="3" s="1"/>
  <c r="J37" i="3"/>
  <c r="L37" i="3"/>
  <c r="L82" i="3"/>
  <c r="J82" i="3"/>
  <c r="J46" i="3"/>
  <c r="L46" i="3"/>
  <c r="M35" i="3"/>
  <c r="J32" i="3"/>
  <c r="L32" i="3"/>
  <c r="L85" i="3"/>
  <c r="J85" i="3"/>
  <c r="M12" i="3"/>
  <c r="K12" i="3"/>
  <c r="N12" i="3" s="1"/>
  <c r="M59" i="3"/>
  <c r="M18" i="3"/>
  <c r="K18" i="3"/>
  <c r="N18" i="3" s="1"/>
  <c r="M15" i="3"/>
  <c r="K15" i="3"/>
  <c r="N15" i="3" s="1"/>
  <c r="G64" i="3"/>
  <c r="I64" i="3" s="1"/>
  <c r="M16" i="3"/>
  <c r="K16" i="3"/>
  <c r="M44" i="3" l="1"/>
  <c r="M34" i="3"/>
  <c r="K34" i="3"/>
  <c r="J50" i="3"/>
  <c r="L50" i="3"/>
  <c r="M46" i="3"/>
  <c r="K46" i="3"/>
  <c r="M49" i="3"/>
  <c r="K49" i="3"/>
  <c r="M69" i="3"/>
  <c r="K69" i="3"/>
  <c r="N69" i="3" s="1"/>
  <c r="K38" i="3"/>
  <c r="M38" i="3"/>
  <c r="L43" i="3"/>
  <c r="J43" i="3"/>
  <c r="M72" i="3"/>
  <c r="K72" i="3"/>
  <c r="M83" i="3"/>
  <c r="K83" i="3"/>
  <c r="M57" i="3"/>
  <c r="K57" i="3"/>
  <c r="M85" i="3"/>
  <c r="K85" i="3"/>
  <c r="N85" i="3" s="1"/>
  <c r="N40" i="3"/>
  <c r="L78" i="3"/>
  <c r="J78" i="3"/>
  <c r="N17" i="3"/>
  <c r="M63" i="3"/>
  <c r="K63" i="3"/>
  <c r="N16" i="3"/>
  <c r="M42" i="3"/>
  <c r="K42" i="3"/>
  <c r="J51" i="3"/>
  <c r="L51" i="3"/>
  <c r="M82" i="3"/>
  <c r="K82" i="3"/>
  <c r="N82" i="3" s="1"/>
  <c r="M74" i="3"/>
  <c r="K74" i="3"/>
  <c r="N61" i="3"/>
  <c r="K37" i="3"/>
  <c r="M37" i="3"/>
  <c r="M62" i="3"/>
  <c r="K62" i="3"/>
  <c r="N62" i="3" s="1"/>
  <c r="M7" i="3"/>
  <c r="K7" i="3"/>
  <c r="N7" i="3" s="1"/>
  <c r="N33" i="3"/>
  <c r="N11" i="3"/>
  <c r="N14" i="3"/>
  <c r="M41" i="3"/>
  <c r="K41" i="3"/>
  <c r="N41" i="3" s="1"/>
  <c r="M76" i="3"/>
  <c r="K76" i="3"/>
  <c r="N76" i="3" s="1"/>
  <c r="K77" i="3"/>
  <c r="K32" i="3"/>
  <c r="N32" i="3" s="1"/>
  <c r="M32" i="3"/>
  <c r="K45" i="3"/>
  <c r="N45" i="3" s="1"/>
  <c r="M45" i="3"/>
  <c r="M80" i="3"/>
  <c r="K80" i="3"/>
  <c r="N80" i="3" s="1"/>
  <c r="L64" i="3"/>
  <c r="J64" i="3"/>
  <c r="K35" i="3"/>
  <c r="M58" i="3"/>
  <c r="K58" i="3"/>
  <c r="N58" i="3" s="1"/>
  <c r="N71" i="3"/>
  <c r="K47" i="3"/>
  <c r="N47" i="3" s="1"/>
  <c r="M47" i="3"/>
  <c r="M60" i="3"/>
  <c r="K60" i="3"/>
  <c r="N60" i="3" s="1"/>
  <c r="K36" i="3"/>
  <c r="N36" i="3" s="1"/>
  <c r="M36" i="3"/>
  <c r="F35" i="2"/>
  <c r="F34" i="2"/>
  <c r="H34" i="2" s="1"/>
  <c r="F33" i="2"/>
  <c r="H33" i="2" s="1"/>
  <c r="F32" i="2"/>
  <c r="H32" i="2" s="1"/>
  <c r="H35" i="2" s="1"/>
  <c r="C45" i="2" s="1"/>
  <c r="C47" i="2" s="1"/>
  <c r="C48" i="2" s="1"/>
  <c r="M84" i="3"/>
  <c r="K84" i="3"/>
  <c r="N68" i="3"/>
  <c r="K39" i="3"/>
  <c r="N39" i="3" s="1"/>
  <c r="K73" i="3"/>
  <c r="N73" i="3" s="1"/>
  <c r="N66" i="3"/>
  <c r="M75" i="3"/>
  <c r="K75" i="3"/>
  <c r="N75" i="3" s="1"/>
  <c r="N38" i="3" l="1"/>
  <c r="N74" i="3"/>
  <c r="N84" i="3"/>
  <c r="N57" i="3"/>
  <c r="N35" i="3"/>
  <c r="K51" i="3"/>
  <c r="M51" i="3"/>
  <c r="N83" i="3"/>
  <c r="N46" i="3"/>
  <c r="N81" i="3"/>
  <c r="N72" i="3"/>
  <c r="M50" i="3"/>
  <c r="K50" i="3"/>
  <c r="N50" i="3" s="1"/>
  <c r="N49" i="3"/>
  <c r="M64" i="3"/>
  <c r="K64" i="3"/>
  <c r="N63" i="3" s="1"/>
  <c r="K65" i="3"/>
  <c r="N65" i="3" s="1"/>
  <c r="N42" i="3"/>
  <c r="N34" i="3"/>
  <c r="N48" i="3"/>
  <c r="M43" i="3"/>
  <c r="K43" i="3"/>
  <c r="K44" i="3"/>
  <c r="N44" i="3" s="1"/>
  <c r="N37" i="3"/>
  <c r="M78" i="3"/>
  <c r="K78" i="3"/>
  <c r="K79" i="3"/>
  <c r="N79" i="3" s="1"/>
  <c r="N77" i="3"/>
  <c r="N59" i="3"/>
  <c r="N78" i="3" l="1"/>
  <c r="N43" i="3"/>
  <c r="N64" i="3"/>
</calcChain>
</file>

<file path=xl/sharedStrings.xml><?xml version="1.0" encoding="utf-8"?>
<sst xmlns="http://schemas.openxmlformats.org/spreadsheetml/2006/main" count="145" uniqueCount="101">
  <si>
    <t>Farm Profit Optimizer — Perfect Competition &amp; Marginal Cost (INSTRUCTOR KEY)</t>
  </si>
  <si>
    <t>BUS 620 · Micro &amp; Macro Economics · Shidler College of Business</t>
  </si>
  <si>
    <t>A price-taking market garden chooses how many beds of Tomatoes, Carrots, and Mesclun to plant. Labor per bed grows with each extra bed (diminishing returns), so marginal cost rises — and the profit-maximizing quantity is where price meets marginal cost. This workbook holds the full farm model (sheet: Model) and the per-crop marginal-cost schedules with charts (sheet: MC Schedules).</t>
  </si>
  <si>
    <t>HOW TO USE</t>
  </si>
  <si>
    <t>1. Read the assumptions on the Model sheet. Blue cells are inputs you may change; black cells are formulas — do not overtype them.</t>
  </si>
  <si>
    <t>2. Enter a planting plan in the DECISION cells (beds of each crop). Watch the constraint checks: total beds &lt;= 64, temp workers &lt;= 4, each crop &lt;= its max.</t>
  </si>
  <si>
    <t>3. Study the MC Schedules sheet: for each crop grown alone, watch total cost, marginal cost (MC), and average variable cost (AVC) as beds increase. The '&lt;-- P ~ MC' marker shows where price crosses marginal cost.</t>
  </si>
  <si>
    <t>4. Optimize with Excel Solver (Data &gt; Solver): Set Objective = profit_total (Max). By Changing = q_tomato, q_carrot, q_mesclun. Constraints: each q &gt;= 0 and integer; q_tomato &lt;= 20; q_carrot &lt;= 20; q_mesclun &lt;= 30; beds_total &lt;= 64; temp_needed &lt;= 4. Solving method: GRG Nonlinear (the model is nonlinear because of diminishing returns). Try a few different starting values — nonlinear models can have local optima.</t>
  </si>
  <si>
    <t>5. Sanity-check Solver's answer against the MC logic: a crop at an interior optimum should have MC just below its price; a crop pinned at its bed cap should still have MC below price (the constraint, not economics, stops it).</t>
  </si>
  <si>
    <t>MODEL CONVENTIONS</t>
  </si>
  <si>
    <t>Labor: each bed of a crop needs (hrs/wk/bed) x 36 weeks, multiplied by (1 + diminishing %)^beds — the more beds, the more care each additional bed takes. The farmer (permanent) supplies the first 720 field hours per season at her implied wage; temporary workers cover the rest at theirs. Fractional (part-time) temps are allowed, up to 4 full-time equivalents.</t>
  </si>
  <si>
    <t>Labor cost per crop in the farm P&amp;L is allocated at the blended farm-wide rate (total labor cost / total hours) — the perm/temp split is a farm-level fact, not a per-crop one.</t>
  </si>
  <si>
    <t>The farmer's field time is charged at $50,000 / 1,440 hrs = $34.72/hr. Discussion point: her salary is paid regardless — is that an economic (opportunity) cost of growing, or a fixed cost? Compare with the Accounting vs Economic Profit case.</t>
  </si>
  <si>
    <t>Watch the tomato MC column dip at ~6 beds: the farmer's 720 hours run out and cheaper temp labor ($17.36/hr) takes over. MC can fall when the marginal input gets cheaper, even with diminishing returns — then diminishing returns win again and MC resumes climbing.</t>
  </si>
  <si>
    <t>COLOR KEY</t>
  </si>
  <si>
    <t>Blue text = input you can change</t>
  </si>
  <si>
    <t>Black text = formula (do not overtype)</t>
  </si>
  <si>
    <t>Yellow fill = decision cells Solver changes</t>
  </si>
  <si>
    <t>FIXES vs v5 (instructor reference)</t>
  </si>
  <si>
    <t>- Mesclun MIX row previously pulled carrot labor hours (copy-paste bug); per-crop tables were coupled to the MIX total via q_beds. Both decoupled.</t>
  </si>
  <si>
    <t>- Temp-labor cap previously compared hours to 1,440 instead of 4 workers; now temp_needed &lt;= temp_max is an explicit checked constraint.</t>
  </si>
  <si>
    <t>- Wages were hardcoded (=50000/...) inside formulas; salaries are now blue input cells.</t>
  </si>
  <si>
    <t>- Named-range typos fixed (fert_carrotrs, labour_hrs, 'Tomotoes', 'Mesculun').</t>
  </si>
  <si>
    <t>- Added AVC column (shutdown discussion), feasibility flags, blended-rate allocation, Solver instructions, and this README.</t>
  </si>
  <si>
    <t>Farm Profit Model — 1.5-acre market garden, 64 beds</t>
  </si>
  <si>
    <t>ASSUMPTIONS</t>
  </si>
  <si>
    <t>Season length (weeks)</t>
  </si>
  <si>
    <t>Fixed costs ($/season)</t>
  </si>
  <si>
    <t>Work week (hrs)</t>
  </si>
  <si>
    <t>Hours per season</t>
  </si>
  <si>
    <t>Labor</t>
  </si>
  <si>
    <t>Salary $/season</t>
  </si>
  <si>
    <t>Field time %</t>
  </si>
  <si>
    <t>Wage $/hr</t>
  </si>
  <si>
    <t>Field hrs/season</t>
  </si>
  <si>
    <t>Permanent (the farmer)</t>
  </si>
  <si>
    <t>Temporary (each, up to 4)</t>
  </si>
  <si>
    <t>CONSTRAINTS</t>
  </si>
  <si>
    <t>Total beds (max)</t>
  </si>
  <si>
    <t>Temp workers (max)</t>
  </si>
  <si>
    <t>CROPS</t>
  </si>
  <si>
    <t>Crop</t>
  </si>
  <si>
    <t>Max beds</t>
  </si>
  <si>
    <t>Price $/bed</t>
  </si>
  <si>
    <t>Labor hrs/wk/bed</t>
  </si>
  <si>
    <t>Fertilizer $/bed</t>
  </si>
  <si>
    <t>Diminishing %/bed</t>
  </si>
  <si>
    <t>Tomatoes</t>
  </si>
  <si>
    <t>Carrot labor = tomato/3, mesclun = tomato/2 (less finicky crops)</t>
  </si>
  <si>
    <t>Carrots</t>
  </si>
  <si>
    <t>Mesclun</t>
  </si>
  <si>
    <t>DECISION — beds to plant</t>
  </si>
  <si>
    <t>Beds</t>
  </si>
  <si>
    <t>Max</t>
  </si>
  <si>
    <t>Check</t>
  </si>
  <si>
    <t>FARM P&amp;L</t>
  </si>
  <si>
    <t>Revenue $</t>
  </si>
  <si>
    <t>Labor hrs</t>
  </si>
  <si>
    <t>Labor $</t>
  </si>
  <si>
    <t>Fertilizer $</t>
  </si>
  <si>
    <t>Variable $</t>
  </si>
  <si>
    <t>TOTAL</t>
  </si>
  <si>
    <t>LABOR</t>
  </si>
  <si>
    <t>Permanent field hrs used</t>
  </si>
  <si>
    <t>Temporary hrs needed</t>
  </si>
  <si>
    <t>Temporary workers needed</t>
  </si>
  <si>
    <t>Labor cost ($)</t>
  </si>
  <si>
    <t>PROFIT</t>
  </si>
  <si>
    <t>Revenue</t>
  </si>
  <si>
    <t>Variable costs (labor + fertilizer)</t>
  </si>
  <si>
    <t>Fixed costs</t>
  </si>
  <si>
    <t>Total costs</t>
  </si>
  <si>
    <t>Beds check:</t>
  </si>
  <si>
    <t>CHECK FIGURES (instructor)</t>
  </si>
  <si>
    <t>Optimal mix</t>
  </si>
  <si>
    <t>Tomatoes 10 / Carrots 20 / Mesclun 30 (60 beds)</t>
  </si>
  <si>
    <t>Profit</t>
  </si>
  <si>
    <t>$42,762</t>
  </si>
  <si>
    <t>5,277 hrs = 720 perm + 4,557 temp (3.16 temp workers)</t>
  </si>
  <si>
    <t>Revenue / Fert / Labor $</t>
  </si>
  <si>
    <t>$210,880 / $44,000 / $104,118</t>
  </si>
  <si>
    <t>Binding constraints</t>
  </si>
  <si>
    <t>Carrot &amp; mesclun bed caps bind (MC &lt; P at cap); tomatoes stop at interior P~MC; beds&lt;=64 and temps&lt;=4 are slack</t>
  </si>
  <si>
    <t>Standalone P~MC</t>
  </si>
  <si>
    <t>Tomatoes ~10 beds, carrots ~10, mesclun ~6 (see MC Schedules)</t>
  </si>
  <si>
    <t>Marginal-cost schedules — each crop grown alone (all other beds = 0)</t>
  </si>
  <si>
    <t>TOMATOES  (price $8,800/bed)</t>
  </si>
  <si>
    <t>q beds</t>
  </si>
  <si>
    <t>Perm hrs</t>
  </si>
  <si>
    <t>Temp hrs</t>
  </si>
  <si>
    <t>Temp #</t>
  </si>
  <si>
    <t>Fert $</t>
  </si>
  <si>
    <t>Total cost $</t>
  </si>
  <si>
    <t>MC $/bed</t>
  </si>
  <si>
    <t>AVC $/bed</t>
  </si>
  <si>
    <t>Profit $</t>
  </si>
  <si>
    <t>Note</t>
  </si>
  <si>
    <t>q mid</t>
  </si>
  <si>
    <t>Price $</t>
  </si>
  <si>
    <t>CARROTS  (price $2,094/bed)</t>
  </si>
  <si>
    <t>MESCLUN  (price $2,700/bed)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</si>
</sst>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;&quot;($&quot;#,##0\);\-"/>
    <numFmt numFmtId="165" formatCode="#,##0.0"/>
    <numFmt numFmtId="166" formatCode="0.0%"/>
    <numFmt numFmtId="167" formatCode="\$#,##0.00;&quot;($&quot;#,##0.00\);\-"/>
    <numFmt numFmtId="168" formatCode="0.0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1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5F"/>
        <bgColor rgb="FF333333"/>
      </patternFill>
    </fill>
    <fill>
      <patternFill patternType="solid">
        <fgColor rgb="FFD5E8F0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3" fillId="2" borderId="0" xfId="0" applyFont="1" applyFill="1"/>
    <xf numFmtId="0" fontId="5" fillId="3" borderId="0" xfId="0" applyFont="1" applyFill="1"/>
    <xf numFmtId="0" fontId="0" fillId="3" borderId="0" xfId="0" applyFill="1"/>
    <xf numFmtId="0" fontId="3" fillId="0" borderId="0" xfId="0" applyFont="1"/>
    <xf numFmtId="1" fontId="4" fillId="0" borderId="0" xfId="0" applyNumberFormat="1" applyFont="1"/>
    <xf numFmtId="164" fontId="4" fillId="0" borderId="0" xfId="0" applyNumberFormat="1" applyFont="1"/>
    <xf numFmtId="165" fontId="3" fillId="0" borderId="0" xfId="0" applyNumberFormat="1" applyFont="1"/>
    <xf numFmtId="0" fontId="2" fillId="4" borderId="0" xfId="0" applyFont="1" applyFill="1"/>
    <xf numFmtId="166" fontId="4" fillId="0" borderId="0" xfId="0" applyNumberFormat="1" applyFont="1"/>
    <xf numFmtId="167" fontId="3" fillId="0" borderId="0" xfId="0" applyNumberFormat="1" applyFont="1"/>
    <xf numFmtId="0" fontId="2" fillId="4" borderId="0" xfId="0" applyFont="1" applyFill="1" applyAlignment="1">
      <alignment vertical="top" wrapText="1"/>
    </xf>
    <xf numFmtId="2" fontId="4" fillId="0" borderId="0" xfId="0" applyNumberFormat="1" applyFont="1"/>
    <xf numFmtId="10" fontId="4" fillId="0" borderId="0" xfId="0" applyNumberFormat="1" applyFont="1"/>
    <xf numFmtId="2" fontId="3" fillId="0" borderId="0" xfId="0" applyNumberFormat="1" applyFont="1"/>
    <xf numFmtId="1" fontId="4" fillId="2" borderId="0" xfId="0" applyNumberFormat="1" applyFont="1" applyFill="1"/>
    <xf numFmtId="1" fontId="3" fillId="0" borderId="0" xfId="0" applyNumberFormat="1" applyFont="1"/>
    <xf numFmtId="164" fontId="3" fillId="0" borderId="0" xfId="0" applyNumberFormat="1" applyFont="1"/>
    <xf numFmtId="0" fontId="2" fillId="0" borderId="0" xfId="0" applyFont="1"/>
    <xf numFmtId="1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8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992"/>
      <rgbColor rgb="FF878787"/>
      <rgbColor rgb="FF9999FF"/>
      <rgbColor rgb="FF993366"/>
      <rgbColor rgb="FFFFFFCC"/>
      <rgbColor rgb="FFD5E8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7A44B"/>
      <rgbColor rgb="FF1F4E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Tomatoes: marginal cost vs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Marginal cost</c:v>
          </c:tx>
          <c:spPr>
            <a:ln w="12600">
              <a:solidFill>
                <a:srgbClr val="87A44B"/>
              </a:solidFill>
              <a:round/>
            </a:ln>
          </c:spPr>
          <c:marker>
            <c:symbol val="circle"/>
            <c:size val="5"/>
            <c:spPr>
              <a:solidFill>
                <a:srgbClr val="87A44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'MC Schedules'!$O$7:$O$26</c:f>
              <c:numCache>
                <c:formatCode>0.0</c:formatCode>
                <c:ptCount val="2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</c:numCache>
            </c:numRef>
          </c:xVal>
          <c:yVal>
            <c:numRef>
              <c:f>'MC Schedules'!$K$7:$K$26</c:f>
              <c:numCache>
                <c:formatCode>\$#,##0;"($"#,##0\);\-</c:formatCode>
                <c:ptCount val="20"/>
                <c:pt idx="0">
                  <c:v>4317.5</c:v>
                </c:pt>
                <c:pt idx="1">
                  <c:v>5005</c:v>
                </c:pt>
                <c:pt idx="2">
                  <c:v>5795.625</c:v>
                </c:pt>
                <c:pt idx="3">
                  <c:v>6703.125</c:v>
                </c:pt>
                <c:pt idx="4">
                  <c:v>7660.859375</c:v>
                </c:pt>
                <c:pt idx="5">
                  <c:v>4906.2750000000087</c:v>
                </c:pt>
                <c:pt idx="6">
                  <c:v>5585.7089062500017</c:v>
                </c:pt>
                <c:pt idx="7">
                  <c:v>6360.766843749996</c:v>
                </c:pt>
                <c:pt idx="8">
                  <c:v>7243.7792796875146</c:v>
                </c:pt>
                <c:pt idx="9">
                  <c:v>8248.5865343750193</c:v>
                </c:pt>
                <c:pt idx="10">
                  <c:v>9390.7174472031184</c:v>
                </c:pt>
                <c:pt idx="11">
                  <c:v>10687.588677253138</c:v>
                </c:pt>
                <c:pt idx="12">
                  <c:v>12158.726978841107</c:v>
                </c:pt>
                <c:pt idx="13">
                  <c:v>13826.017053974152</c:v>
                </c:pt>
                <c:pt idx="14">
                  <c:v>15713.977874345364</c:v>
                </c:pt>
                <c:pt idx="15">
                  <c:v>17850.070688251115</c:v>
                </c:pt>
                <c:pt idx="16">
                  <c:v>20265.042286194512</c:v>
                </c:pt>
                <c:pt idx="17">
                  <c:v>22993.307496844121</c:v>
                </c:pt>
                <c:pt idx="18">
                  <c:v>26073.375326761772</c:v>
                </c:pt>
                <c:pt idx="19">
                  <c:v>29548.323647694342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0C-4EFE-B8C6-D1A7AB822CCD}"/>
            </c:ext>
          </c:extLst>
        </c:ser>
        <c:ser>
          <c:idx val="1"/>
          <c:order val="1"/>
          <c:tx>
            <c:v>Price</c:v>
          </c:tx>
          <c:spPr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'MC Schedules'!$O$7:$O$26</c:f>
              <c:numCache>
                <c:formatCode>0.0</c:formatCode>
                <c:ptCount val="2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</c:numCache>
            </c:numRef>
          </c:xVal>
          <c:yVal>
            <c:numRef>
              <c:f>'MC Schedules'!$P$7:$P$26</c:f>
              <c:numCache>
                <c:formatCode>\$#,##0;"($"#,##0\);\-</c:formatCode>
                <c:ptCount val="20"/>
                <c:pt idx="0">
                  <c:v>8800</c:v>
                </c:pt>
                <c:pt idx="1">
                  <c:v>8800</c:v>
                </c:pt>
                <c:pt idx="2">
                  <c:v>8800</c:v>
                </c:pt>
                <c:pt idx="3">
                  <c:v>8800</c:v>
                </c:pt>
                <c:pt idx="4">
                  <c:v>8800</c:v>
                </c:pt>
                <c:pt idx="5">
                  <c:v>8800</c:v>
                </c:pt>
                <c:pt idx="6">
                  <c:v>8800</c:v>
                </c:pt>
                <c:pt idx="7">
                  <c:v>8800</c:v>
                </c:pt>
                <c:pt idx="8">
                  <c:v>8800</c:v>
                </c:pt>
                <c:pt idx="9">
                  <c:v>8800</c:v>
                </c:pt>
                <c:pt idx="10">
                  <c:v>8800</c:v>
                </c:pt>
                <c:pt idx="11">
                  <c:v>8800</c:v>
                </c:pt>
                <c:pt idx="12">
                  <c:v>8800</c:v>
                </c:pt>
                <c:pt idx="13">
                  <c:v>8800</c:v>
                </c:pt>
                <c:pt idx="14">
                  <c:v>8800</c:v>
                </c:pt>
                <c:pt idx="15">
                  <c:v>8800</c:v>
                </c:pt>
                <c:pt idx="16">
                  <c:v>8800</c:v>
                </c:pt>
                <c:pt idx="17">
                  <c:v>8800</c:v>
                </c:pt>
                <c:pt idx="18">
                  <c:v>8800</c:v>
                </c:pt>
                <c:pt idx="19">
                  <c:v>8800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0C-4EFE-B8C6-D1A7AB822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0834"/>
        <c:axId val="16433846"/>
      </c:scatterChart>
      <c:valAx>
        <c:axId val="12400834"/>
        <c:scaling>
          <c:orientation val="minMax"/>
        </c:scaling>
        <c:delete val="1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Beds (midpoint)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crossAx val="16433846"/>
        <c:crosses val="autoZero"/>
        <c:crossBetween val="midCat"/>
      </c:valAx>
      <c:valAx>
        <c:axId val="16433846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 per bed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crossAx val="12400834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Carrots: marginal cost vs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Marginal cost</c:v>
          </c:tx>
          <c:spPr>
            <a:ln w="12600">
              <a:solidFill>
                <a:srgbClr val="87A44B"/>
              </a:solidFill>
              <a:round/>
            </a:ln>
          </c:spPr>
          <c:marker>
            <c:symbol val="circle"/>
            <c:size val="5"/>
            <c:spPr>
              <a:solidFill>
                <a:srgbClr val="87A44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'MC Schedules'!$O$32:$O$51</c:f>
              <c:numCache>
                <c:formatCode>0.0</c:formatCode>
                <c:ptCount val="2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</c:numCache>
            </c:numRef>
          </c:xVal>
          <c:yVal>
            <c:numRef>
              <c:f>'MC Schedules'!$K$32:$K$51</c:f>
              <c:numCache>
                <c:formatCode>\$#,##0;"($"#,##0\);\-</c:formatCode>
                <c:ptCount val="20"/>
                <c:pt idx="0">
                  <c:v>1507.7083333333321</c:v>
                </c:pt>
                <c:pt idx="1">
                  <c:v>1561.09375</c:v>
                </c:pt>
                <c:pt idx="2">
                  <c:v>1616.4811197916679</c:v>
                </c:pt>
                <c:pt idx="3">
                  <c:v>1673.9371744791642</c:v>
                </c:pt>
                <c:pt idx="4">
                  <c:v>1733.5307312011719</c:v>
                </c:pt>
                <c:pt idx="5">
                  <c:v>1795.3327550252288</c:v>
                </c:pt>
                <c:pt idx="6">
                  <c:v>1859.416423333485</c:v>
                </c:pt>
                <c:pt idx="7">
                  <c:v>1925.8571920852664</c:v>
                </c:pt>
                <c:pt idx="8">
                  <c:v>1994.7328640100459</c:v>
                </c:pt>
                <c:pt idx="9">
                  <c:v>2066.1236587860258</c:v>
                </c:pt>
                <c:pt idx="10">
                  <c:v>2140.1122852607878</c:v>
                </c:pt>
                <c:pt idx="11">
                  <c:v>2216.7840157725441</c:v>
                </c:pt>
                <c:pt idx="12">
                  <c:v>2296.2267626316025</c:v>
                </c:pt>
                <c:pt idx="13">
                  <c:v>2378.5311568237667</c:v>
                </c:pt>
                <c:pt idx="14">
                  <c:v>2463.7906289988896</c:v>
                </c:pt>
                <c:pt idx="15">
                  <c:v>2552.1014928097429</c:v>
                </c:pt>
                <c:pt idx="16">
                  <c:v>1670.9013431626518</c:v>
                </c:pt>
                <c:pt idx="17">
                  <c:v>1589.1387909931072</c:v>
                </c:pt>
                <c:pt idx="18">
                  <c:v>1638.1753169880685</c:v>
                </c:pt>
                <c:pt idx="19">
                  <c:v>1688.9454575384007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49-42B8-A7E3-5C46ED3B9959}"/>
            </c:ext>
          </c:extLst>
        </c:ser>
        <c:ser>
          <c:idx val="1"/>
          <c:order val="1"/>
          <c:tx>
            <c:v>Price</c:v>
          </c:tx>
          <c:spPr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'MC Schedules'!$O$32:$O$51</c:f>
              <c:numCache>
                <c:formatCode>0.0</c:formatCode>
                <c:ptCount val="2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</c:numCache>
            </c:numRef>
          </c:xVal>
          <c:yVal>
            <c:numRef>
              <c:f>'MC Schedules'!$P$32:$P$51</c:f>
              <c:numCache>
                <c:formatCode>\$#,##0;"($"#,##0\);\-</c:formatCode>
                <c:ptCount val="20"/>
                <c:pt idx="0">
                  <c:v>2094</c:v>
                </c:pt>
                <c:pt idx="1">
                  <c:v>2094</c:v>
                </c:pt>
                <c:pt idx="2">
                  <c:v>2094</c:v>
                </c:pt>
                <c:pt idx="3">
                  <c:v>2094</c:v>
                </c:pt>
                <c:pt idx="4">
                  <c:v>2094</c:v>
                </c:pt>
                <c:pt idx="5">
                  <c:v>2094</c:v>
                </c:pt>
                <c:pt idx="6">
                  <c:v>2094</c:v>
                </c:pt>
                <c:pt idx="7">
                  <c:v>2094</c:v>
                </c:pt>
                <c:pt idx="8">
                  <c:v>2094</c:v>
                </c:pt>
                <c:pt idx="9">
                  <c:v>2094</c:v>
                </c:pt>
                <c:pt idx="10">
                  <c:v>2094</c:v>
                </c:pt>
                <c:pt idx="11">
                  <c:v>2094</c:v>
                </c:pt>
                <c:pt idx="12">
                  <c:v>2094</c:v>
                </c:pt>
                <c:pt idx="13">
                  <c:v>2094</c:v>
                </c:pt>
                <c:pt idx="14">
                  <c:v>2094</c:v>
                </c:pt>
                <c:pt idx="15">
                  <c:v>2094</c:v>
                </c:pt>
                <c:pt idx="16">
                  <c:v>2094</c:v>
                </c:pt>
                <c:pt idx="17">
                  <c:v>2094</c:v>
                </c:pt>
                <c:pt idx="18">
                  <c:v>2094</c:v>
                </c:pt>
                <c:pt idx="19">
                  <c:v>2094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849-42B8-A7E3-5C46ED3B9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30297"/>
        <c:axId val="12988818"/>
      </c:scatterChart>
      <c:valAx>
        <c:axId val="57330297"/>
        <c:scaling>
          <c:orientation val="minMax"/>
        </c:scaling>
        <c:delete val="1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Beds (midpoint)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crossAx val="12988818"/>
        <c:crosses val="autoZero"/>
        <c:crossBetween val="midCat"/>
      </c:valAx>
      <c:valAx>
        <c:axId val="12988818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 per bed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crossAx val="57330297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Mesclun: marginal cost vs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Marginal cost</c:v>
          </c:tx>
          <c:spPr>
            <a:ln w="12600">
              <a:solidFill>
                <a:srgbClr val="87A44B"/>
              </a:solidFill>
              <a:round/>
            </a:ln>
          </c:spPr>
          <c:marker>
            <c:symbol val="circle"/>
            <c:size val="5"/>
            <c:spPr>
              <a:solidFill>
                <a:srgbClr val="87A44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'MC Schedules'!$O$57:$O$86</c:f>
              <c:numCache>
                <c:formatCode>0.0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'MC Schedules'!$K$57:$K$86</c:f>
              <c:numCache>
                <c:formatCode>\$#,##0;"($"#,##0\);\-</c:formatCode>
                <c:ptCount val="30"/>
                <c:pt idx="0">
                  <c:v>2462.03125</c:v>
                </c:pt>
                <c:pt idx="1">
                  <c:v>2501.58203125</c:v>
                </c:pt>
                <c:pt idx="2">
                  <c:v>2541.8743896484375</c:v>
                </c:pt>
                <c:pt idx="3">
                  <c:v>2582.9206848144531</c:v>
                </c:pt>
                <c:pt idx="4">
                  <c:v>2624.7334694862366</c:v>
                </c:pt>
                <c:pt idx="5">
                  <c:v>2667.3254924178109</c:v>
                </c:pt>
                <c:pt idx="6">
                  <c:v>2710.7097013180683</c:v>
                </c:pt>
                <c:pt idx="7">
                  <c:v>2754.8992458326466</c:v>
                </c:pt>
                <c:pt idx="8">
                  <c:v>2799.9074805692508</c:v>
                </c:pt>
                <c:pt idx="9">
                  <c:v>2845.7479681671175</c:v>
                </c:pt>
                <c:pt idx="10">
                  <c:v>2892.434482411074</c:v>
                </c:pt>
                <c:pt idx="11">
                  <c:v>2939.9810113911226</c:v>
                </c:pt>
                <c:pt idx="12">
                  <c:v>2988.4017607077913</c:v>
                </c:pt>
                <c:pt idx="13">
                  <c:v>2522.5810943551696</c:v>
                </c:pt>
                <c:pt idx="14">
                  <c:v>1983.9619249331008</c:v>
                </c:pt>
                <c:pt idx="15">
                  <c:v>2009.5273589841818</c:v>
                </c:pt>
                <c:pt idx="16">
                  <c:v>2035.5594348357699</c:v>
                </c:pt>
                <c:pt idx="17">
                  <c:v>2062.0658239338081</c:v>
                </c:pt>
                <c:pt idx="18">
                  <c:v>2089.0543165975978</c:v>
                </c:pt>
                <c:pt idx="19">
                  <c:v>2116.532823793008</c:v>
                </c:pt>
                <c:pt idx="20">
                  <c:v>2144.5093789313105</c:v>
                </c:pt>
                <c:pt idx="21">
                  <c:v>2172.9921396943828</c:v>
                </c:pt>
                <c:pt idx="22">
                  <c:v>2201.9893898860464</c:v>
                </c:pt>
                <c:pt idx="23">
                  <c:v>2231.5095413106901</c:v>
                </c:pt>
                <c:pt idx="24">
                  <c:v>2261.5611356787704</c:v>
                </c:pt>
                <c:pt idx="25">
                  <c:v>2292.1528465402516</c:v>
                </c:pt>
                <c:pt idx="26">
                  <c:v>2323.2934812457679</c:v>
                </c:pt>
                <c:pt idx="27">
                  <c:v>2354.9919829366991</c:v>
                </c:pt>
                <c:pt idx="28">
                  <c:v>2387.2574325634341</c:v>
                </c:pt>
                <c:pt idx="29">
                  <c:v>2420.0990509335097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01-412B-81C8-CB5D342777C7}"/>
            </c:ext>
          </c:extLst>
        </c:ser>
        <c:ser>
          <c:idx val="1"/>
          <c:order val="1"/>
          <c:tx>
            <c:v>Price</c:v>
          </c:tx>
          <c:spPr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'MC Schedules'!$O$57:$O$86</c:f>
              <c:numCache>
                <c:formatCode>0.0</c:formatCode>
                <c:ptCount val="30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</c:numCache>
            </c:numRef>
          </c:xVal>
          <c:yVal>
            <c:numRef>
              <c:f>'MC Schedules'!$P$57:$P$86</c:f>
              <c:numCache>
                <c:formatCode>\$#,##0;"($"#,##0\);\-</c:formatCode>
                <c:ptCount val="30"/>
                <c:pt idx="0">
                  <c:v>2700</c:v>
                </c:pt>
                <c:pt idx="1">
                  <c:v>2700</c:v>
                </c:pt>
                <c:pt idx="2">
                  <c:v>2700</c:v>
                </c:pt>
                <c:pt idx="3">
                  <c:v>2700</c:v>
                </c:pt>
                <c:pt idx="4">
                  <c:v>2700</c:v>
                </c:pt>
                <c:pt idx="5">
                  <c:v>2700</c:v>
                </c:pt>
                <c:pt idx="6">
                  <c:v>2700</c:v>
                </c:pt>
                <c:pt idx="7">
                  <c:v>2700</c:v>
                </c:pt>
                <c:pt idx="8">
                  <c:v>2700</c:v>
                </c:pt>
                <c:pt idx="9">
                  <c:v>2700</c:v>
                </c:pt>
                <c:pt idx="10">
                  <c:v>2700</c:v>
                </c:pt>
                <c:pt idx="11">
                  <c:v>2700</c:v>
                </c:pt>
                <c:pt idx="12">
                  <c:v>2700</c:v>
                </c:pt>
                <c:pt idx="13">
                  <c:v>2700</c:v>
                </c:pt>
                <c:pt idx="14">
                  <c:v>2700</c:v>
                </c:pt>
                <c:pt idx="15">
                  <c:v>2700</c:v>
                </c:pt>
                <c:pt idx="16">
                  <c:v>2700</c:v>
                </c:pt>
                <c:pt idx="17">
                  <c:v>2700</c:v>
                </c:pt>
                <c:pt idx="18">
                  <c:v>2700</c:v>
                </c:pt>
                <c:pt idx="19">
                  <c:v>2700</c:v>
                </c:pt>
                <c:pt idx="20">
                  <c:v>2700</c:v>
                </c:pt>
                <c:pt idx="21">
                  <c:v>2700</c:v>
                </c:pt>
                <c:pt idx="22">
                  <c:v>2700</c:v>
                </c:pt>
                <c:pt idx="23">
                  <c:v>2700</c:v>
                </c:pt>
                <c:pt idx="24">
                  <c:v>2700</c:v>
                </c:pt>
                <c:pt idx="25">
                  <c:v>2700</c:v>
                </c:pt>
                <c:pt idx="26">
                  <c:v>2700</c:v>
                </c:pt>
                <c:pt idx="27">
                  <c:v>2700</c:v>
                </c:pt>
                <c:pt idx="28">
                  <c:v>2700</c:v>
                </c:pt>
                <c:pt idx="29">
                  <c:v>2700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01-412B-81C8-CB5D34277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30530"/>
        <c:axId val="65329358"/>
      </c:scatterChart>
      <c:valAx>
        <c:axId val="35330530"/>
        <c:scaling>
          <c:orientation val="minMax"/>
        </c:scaling>
        <c:delete val="1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Beds (midpoint)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crossAx val="65329358"/>
        <c:crosses val="autoZero"/>
        <c:crossBetween val="midCat"/>
      </c:valAx>
      <c:valAx>
        <c:axId val="65329358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 per bed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crossAx val="35330530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3</xdr:row>
      <xdr:rowOff>0</xdr:rowOff>
    </xdr:from>
    <xdr:to>
      <xdr:col>26</xdr:col>
      <xdr:colOff>39240</xdr:colOff>
      <xdr:row>18</xdr:row>
      <xdr:rowOff>164880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0</xdr:colOff>
      <xdr:row>28</xdr:row>
      <xdr:rowOff>0</xdr:rowOff>
    </xdr:from>
    <xdr:to>
      <xdr:col>26</xdr:col>
      <xdr:colOff>39240</xdr:colOff>
      <xdr:row>43</xdr:row>
      <xdr:rowOff>164880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0</xdr:colOff>
      <xdr:row>53</xdr:row>
      <xdr:rowOff>0</xdr:rowOff>
    </xdr:from>
    <xdr:to>
      <xdr:col>26</xdr:col>
      <xdr:colOff>39240</xdr:colOff>
      <xdr:row>68</xdr:row>
      <xdr:rowOff>164880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0"/>
  <sheetViews>
    <sheetView zoomScaleNormal="100" workbookViewId="0"/>
  </sheetViews>
  <sheetFormatPr defaultColWidth="8.453125" defaultRowHeight="14.5" x14ac:dyDescent="0.35"/>
  <cols>
    <col min="2" max="2" width="110" customWidth="1"/>
  </cols>
  <sheetData>
    <row r="2" spans="2:2" ht="18" x14ac:dyDescent="0.4">
      <c r="B2" s="1" t="s">
        <v>0</v>
      </c>
    </row>
    <row r="4" spans="2:2" x14ac:dyDescent="0.35">
      <c r="B4" s="2" t="s">
        <v>1</v>
      </c>
    </row>
    <row r="5" spans="2:2" ht="37.5" x14ac:dyDescent="0.35">
      <c r="B5" s="3" t="s">
        <v>2</v>
      </c>
    </row>
    <row r="7" spans="2:2" x14ac:dyDescent="0.35">
      <c r="B7" s="2" t="s">
        <v>3</v>
      </c>
    </row>
    <row r="8" spans="2:2" x14ac:dyDescent="0.35">
      <c r="B8" s="3" t="s">
        <v>4</v>
      </c>
    </row>
    <row r="9" spans="2:2" ht="25" x14ac:dyDescent="0.35">
      <c r="B9" s="3" t="s">
        <v>5</v>
      </c>
    </row>
    <row r="10" spans="2:2" ht="25" x14ac:dyDescent="0.35">
      <c r="B10" s="3" t="s">
        <v>6</v>
      </c>
    </row>
    <row r="11" spans="2:2" ht="50" x14ac:dyDescent="0.35">
      <c r="B11" s="3" t="s">
        <v>7</v>
      </c>
    </row>
    <row r="12" spans="2:2" ht="25" x14ac:dyDescent="0.35">
      <c r="B12" s="3" t="s">
        <v>8</v>
      </c>
    </row>
    <row r="14" spans="2:2" x14ac:dyDescent="0.35">
      <c r="B14" s="2" t="s">
        <v>9</v>
      </c>
    </row>
    <row r="15" spans="2:2" ht="37.5" x14ac:dyDescent="0.35">
      <c r="B15" s="3" t="s">
        <v>10</v>
      </c>
    </row>
    <row r="16" spans="2:2" ht="25" x14ac:dyDescent="0.35">
      <c r="B16" s="3" t="s">
        <v>11</v>
      </c>
    </row>
    <row r="17" spans="2:2" ht="25" x14ac:dyDescent="0.35">
      <c r="B17" s="3" t="s">
        <v>12</v>
      </c>
    </row>
    <row r="18" spans="2:2" ht="37.5" x14ac:dyDescent="0.35">
      <c r="B18" s="3" t="s">
        <v>13</v>
      </c>
    </row>
    <row r="20" spans="2:2" x14ac:dyDescent="0.35">
      <c r="B20" s="2" t="s">
        <v>14</v>
      </c>
    </row>
    <row r="21" spans="2:2" x14ac:dyDescent="0.35">
      <c r="B21" s="4" t="s">
        <v>15</v>
      </c>
    </row>
    <row r="22" spans="2:2" x14ac:dyDescent="0.35">
      <c r="B22" s="3" t="s">
        <v>16</v>
      </c>
    </row>
    <row r="23" spans="2:2" x14ac:dyDescent="0.35">
      <c r="B23" s="5" t="s">
        <v>17</v>
      </c>
    </row>
    <row r="25" spans="2:2" x14ac:dyDescent="0.35">
      <c r="B25" s="2" t="s">
        <v>18</v>
      </c>
    </row>
    <row r="26" spans="2:2" ht="25" x14ac:dyDescent="0.35">
      <c r="B26" s="3" t="s">
        <v>19</v>
      </c>
    </row>
    <row r="27" spans="2:2" ht="25" x14ac:dyDescent="0.35">
      <c r="B27" s="3" t="s">
        <v>20</v>
      </c>
    </row>
    <row r="28" spans="2:2" x14ac:dyDescent="0.35">
      <c r="B28" s="3" t="s">
        <v>21</v>
      </c>
    </row>
    <row r="29" spans="2:2" x14ac:dyDescent="0.35">
      <c r="B29" s="3" t="s">
        <v>22</v>
      </c>
    </row>
    <row r="30" spans="2:2" x14ac:dyDescent="0.35">
      <c r="B30" s="3" t="s">
        <v>23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57"/>
  <sheetViews>
    <sheetView tabSelected="1" topLeftCell="A19" zoomScaleNormal="100" workbookViewId="0">
      <selection activeCell="C27" sqref="C27"/>
    </sheetView>
  </sheetViews>
  <sheetFormatPr defaultColWidth="8.453125" defaultRowHeight="14.5" x14ac:dyDescent="0.35"/>
  <cols>
    <col min="1" max="1" width="2" customWidth="1"/>
    <col min="2" max="2" width="30" customWidth="1"/>
    <col min="3" max="9" width="14" customWidth="1"/>
    <col min="10" max="10" width="16" customWidth="1"/>
  </cols>
  <sheetData>
    <row r="2" spans="2:6" ht="18" x14ac:dyDescent="0.4">
      <c r="B2" s="1" t="s">
        <v>24</v>
      </c>
    </row>
    <row r="4" spans="2:6" x14ac:dyDescent="0.35">
      <c r="B4" s="6" t="s">
        <v>25</v>
      </c>
      <c r="C4" s="7"/>
      <c r="D4" s="7"/>
      <c r="E4" s="7"/>
      <c r="F4" s="7"/>
    </row>
    <row r="5" spans="2:6" x14ac:dyDescent="0.35">
      <c r="B5" s="8" t="s">
        <v>26</v>
      </c>
      <c r="C5" s="9">
        <v>36</v>
      </c>
    </row>
    <row r="6" spans="2:6" x14ac:dyDescent="0.35">
      <c r="B6" s="8" t="s">
        <v>27</v>
      </c>
      <c r="C6" s="10">
        <v>20000</v>
      </c>
    </row>
    <row r="7" spans="2:6" x14ac:dyDescent="0.35">
      <c r="B7" s="8" t="s">
        <v>28</v>
      </c>
      <c r="C7" s="9">
        <v>40</v>
      </c>
    </row>
    <row r="8" spans="2:6" x14ac:dyDescent="0.35">
      <c r="B8" s="8" t="s">
        <v>29</v>
      </c>
      <c r="C8" s="11">
        <f>season_wks*labor_hrs_week</f>
        <v>1440</v>
      </c>
    </row>
    <row r="10" spans="2:6" x14ac:dyDescent="0.35">
      <c r="B10" s="12" t="s">
        <v>30</v>
      </c>
      <c r="C10" s="12" t="s">
        <v>31</v>
      </c>
      <c r="D10" s="12" t="s">
        <v>32</v>
      </c>
      <c r="E10" s="12" t="s">
        <v>33</v>
      </c>
      <c r="F10" s="12" t="s">
        <v>34</v>
      </c>
    </row>
    <row r="11" spans="2:6" x14ac:dyDescent="0.35">
      <c r="B11" s="8" t="s">
        <v>35</v>
      </c>
      <c r="C11" s="10">
        <v>50000</v>
      </c>
      <c r="D11" s="13">
        <v>0.5</v>
      </c>
      <c r="E11" s="14">
        <f>C11/labor_hrs_season</f>
        <v>34.722222222222221</v>
      </c>
      <c r="F11" s="11">
        <f>labor_hrs_season*D11</f>
        <v>720</v>
      </c>
    </row>
    <row r="12" spans="2:6" x14ac:dyDescent="0.35">
      <c r="B12" s="8" t="s">
        <v>36</v>
      </c>
      <c r="C12" s="10">
        <v>25000</v>
      </c>
      <c r="D12" s="13">
        <v>1</v>
      </c>
      <c r="E12" s="14">
        <f>C12/labor_hrs_season</f>
        <v>17.361111111111111</v>
      </c>
      <c r="F12" s="11">
        <f>labor_hrs_season*D12</f>
        <v>1440</v>
      </c>
    </row>
    <row r="14" spans="2:6" x14ac:dyDescent="0.35">
      <c r="B14" s="6" t="s">
        <v>37</v>
      </c>
      <c r="C14" s="7"/>
    </row>
    <row r="15" spans="2:6" x14ac:dyDescent="0.35">
      <c r="B15" s="8" t="s">
        <v>38</v>
      </c>
      <c r="C15" s="9">
        <v>64</v>
      </c>
    </row>
    <row r="16" spans="2:6" x14ac:dyDescent="0.35">
      <c r="B16" s="8" t="s">
        <v>39</v>
      </c>
      <c r="C16" s="9">
        <v>4</v>
      </c>
    </row>
    <row r="18" spans="2:8" x14ac:dyDescent="0.35">
      <c r="B18" s="6" t="s">
        <v>40</v>
      </c>
      <c r="C18" s="7"/>
      <c r="D18" s="7"/>
      <c r="E18" s="7"/>
      <c r="F18" s="7"/>
      <c r="G18" s="7"/>
    </row>
    <row r="19" spans="2:8" ht="26" x14ac:dyDescent="0.35">
      <c r="B19" s="15" t="s">
        <v>41</v>
      </c>
      <c r="C19" s="15" t="s">
        <v>42</v>
      </c>
      <c r="D19" s="15" t="s">
        <v>43</v>
      </c>
      <c r="E19" s="15" t="s">
        <v>44</v>
      </c>
      <c r="F19" s="15" t="s">
        <v>45</v>
      </c>
      <c r="G19" s="15" t="s">
        <v>46</v>
      </c>
    </row>
    <row r="20" spans="2:8" x14ac:dyDescent="0.35">
      <c r="B20" s="8" t="s">
        <v>47</v>
      </c>
      <c r="C20" s="9">
        <v>20</v>
      </c>
      <c r="D20" s="10">
        <v>8800</v>
      </c>
      <c r="E20" s="16">
        <v>2.5</v>
      </c>
      <c r="F20" s="10">
        <v>880</v>
      </c>
      <c r="G20" s="17">
        <v>0.1</v>
      </c>
      <c r="H20" s="8" t="s">
        <v>48</v>
      </c>
    </row>
    <row r="21" spans="2:8" x14ac:dyDescent="0.35">
      <c r="B21" s="8" t="s">
        <v>49</v>
      </c>
      <c r="C21" s="9">
        <v>20</v>
      </c>
      <c r="D21" s="10">
        <v>2094</v>
      </c>
      <c r="E21" s="18">
        <f>E20/3</f>
        <v>0.83333333333333337</v>
      </c>
      <c r="F21" s="10">
        <v>440</v>
      </c>
      <c r="G21" s="17">
        <v>2.5000000000000001E-2</v>
      </c>
    </row>
    <row r="22" spans="2:8" x14ac:dyDescent="0.35">
      <c r="B22" s="8" t="s">
        <v>50</v>
      </c>
      <c r="C22" s="9">
        <v>30</v>
      </c>
      <c r="D22" s="10">
        <v>2700</v>
      </c>
      <c r="E22" s="18">
        <f>E20/2</f>
        <v>1.25</v>
      </c>
      <c r="F22" s="10">
        <v>880</v>
      </c>
      <c r="G22" s="17">
        <v>1.2500000000000001E-2</v>
      </c>
    </row>
    <row r="24" spans="2:8" x14ac:dyDescent="0.35">
      <c r="B24" s="6" t="s">
        <v>51</v>
      </c>
      <c r="C24" s="7"/>
      <c r="D24" s="7"/>
      <c r="E24" s="7"/>
    </row>
    <row r="25" spans="2:8" x14ac:dyDescent="0.35">
      <c r="B25" s="12" t="s">
        <v>41</v>
      </c>
      <c r="C25" s="12" t="s">
        <v>52</v>
      </c>
      <c r="D25" s="12" t="s">
        <v>53</v>
      </c>
      <c r="E25" s="12" t="s">
        <v>54</v>
      </c>
    </row>
    <row r="26" spans="2:8" x14ac:dyDescent="0.35">
      <c r="B26" s="8" t="s">
        <v>47</v>
      </c>
      <c r="C26" s="19">
        <v>10</v>
      </c>
      <c r="D26" s="20">
        <f>max_tomato</f>
        <v>20</v>
      </c>
      <c r="E26" s="8" t="str">
        <f>IF(C26&gt;max_tomato,"OVER MAX","ok")</f>
        <v>ok</v>
      </c>
    </row>
    <row r="27" spans="2:8" x14ac:dyDescent="0.35">
      <c r="B27" s="8" t="s">
        <v>49</v>
      </c>
      <c r="C27" s="19">
        <v>20</v>
      </c>
      <c r="D27" s="20">
        <f>max_carrot</f>
        <v>20</v>
      </c>
      <c r="E27" s="8" t="str">
        <f>IF(C27&gt;max_carrot,"OVER MAX","ok")</f>
        <v>ok</v>
      </c>
    </row>
    <row r="28" spans="2:8" x14ac:dyDescent="0.35">
      <c r="B28" s="8" t="s">
        <v>50</v>
      </c>
      <c r="C28" s="19">
        <v>30</v>
      </c>
      <c r="D28" s="20">
        <f>max_mesclun</f>
        <v>30</v>
      </c>
      <c r="E28" s="8" t="str">
        <f>IF(C28&gt;max_mesclun,"OVER MAX","ok")</f>
        <v>ok</v>
      </c>
    </row>
    <row r="30" spans="2:8" x14ac:dyDescent="0.35">
      <c r="B30" s="6" t="s">
        <v>55</v>
      </c>
      <c r="C30" s="7"/>
      <c r="D30" s="7"/>
      <c r="E30" s="7"/>
      <c r="F30" s="7"/>
      <c r="G30" s="7"/>
      <c r="H30" s="7"/>
    </row>
    <row r="31" spans="2:8" x14ac:dyDescent="0.35">
      <c r="B31" s="12" t="s">
        <v>41</v>
      </c>
      <c r="C31" s="12" t="s">
        <v>52</v>
      </c>
      <c r="D31" s="12" t="s">
        <v>56</v>
      </c>
      <c r="E31" s="12" t="s">
        <v>57</v>
      </c>
      <c r="F31" s="12" t="s">
        <v>58</v>
      </c>
      <c r="G31" s="12" t="s">
        <v>59</v>
      </c>
      <c r="H31" s="12" t="s">
        <v>60</v>
      </c>
    </row>
    <row r="32" spans="2:8" x14ac:dyDescent="0.35">
      <c r="B32" s="8" t="s">
        <v>47</v>
      </c>
      <c r="C32" s="20">
        <f>q_tomato</f>
        <v>10</v>
      </c>
      <c r="D32" s="21">
        <f>q_tomato*price_tomato</f>
        <v>88000</v>
      </c>
      <c r="E32" s="11">
        <f>q_tomato*laborwk_tomato*season_wks*(1+dim_tomato)^q_tomato</f>
        <v>2334.3682140900019</v>
      </c>
      <c r="F32" s="21">
        <f>IF(hrs_total=0,0,E32*labor_cost_total/hrs_total)</f>
        <v>46056.581198400811</v>
      </c>
      <c r="G32" s="21">
        <f>q_tomato*fert_tomato</f>
        <v>8800</v>
      </c>
      <c r="H32" s="21">
        <f>F32+G32</f>
        <v>54856.581198400811</v>
      </c>
    </row>
    <row r="33" spans="2:8" x14ac:dyDescent="0.35">
      <c r="B33" s="8" t="s">
        <v>49</v>
      </c>
      <c r="C33" s="20">
        <f>q_carrot</f>
        <v>20</v>
      </c>
      <c r="D33" s="21">
        <f>q_carrot*price_carrot</f>
        <v>41880</v>
      </c>
      <c r="E33" s="11">
        <f>q_carrot*laborwk_carrot*season_wks*(1+dim_carrot)^q_carrot</f>
        <v>983.16986417423732</v>
      </c>
      <c r="F33" s="21">
        <f>IF(hrs_total=0,0,E33*labor_cost_total/hrs_total)</f>
        <v>19397.7292904553</v>
      </c>
      <c r="G33" s="21">
        <f>q_carrot*fert_carrot</f>
        <v>8800</v>
      </c>
      <c r="H33" s="21">
        <f>F33+G33</f>
        <v>28197.7292904553</v>
      </c>
    </row>
    <row r="34" spans="2:8" x14ac:dyDescent="0.35">
      <c r="B34" s="8" t="s">
        <v>50</v>
      </c>
      <c r="C34" s="20">
        <f>q_mesclun</f>
        <v>30</v>
      </c>
      <c r="D34" s="21">
        <f>q_mesclun*price_mesclun</f>
        <v>81000</v>
      </c>
      <c r="E34" s="11">
        <f>q_mesclun*laborwk_mesclun*season_wks*(1+dim_mesclun)^q_mesclun</f>
        <v>1959.6780360096488</v>
      </c>
      <c r="F34" s="21">
        <f>IF(hrs_total=0,0,E34*labor_cost_total/hrs_total)</f>
        <v>38664.024828398899</v>
      </c>
      <c r="G34" s="21">
        <f>q_mesclun*fert_mesclun</f>
        <v>26400</v>
      </c>
      <c r="H34" s="21">
        <f>F34+G34</f>
        <v>65064.024828398899</v>
      </c>
    </row>
    <row r="35" spans="2:8" x14ac:dyDescent="0.35">
      <c r="B35" s="22" t="s">
        <v>61</v>
      </c>
      <c r="C35" s="23">
        <f>SUM(C32:C34)</f>
        <v>60</v>
      </c>
      <c r="D35" s="24">
        <f>SUM(D32:D34)</f>
        <v>210880</v>
      </c>
      <c r="E35" s="25">
        <f>SUM(E32:E34)</f>
        <v>5277.2161142738878</v>
      </c>
      <c r="F35" s="24">
        <f>labor_cost_total</f>
        <v>104118.335317255</v>
      </c>
      <c r="G35" s="24">
        <f>SUM(G32:G34)</f>
        <v>44000</v>
      </c>
      <c r="H35" s="24">
        <f>SUM(H32:H34)</f>
        <v>148118.335317255</v>
      </c>
    </row>
    <row r="37" spans="2:8" x14ac:dyDescent="0.35">
      <c r="B37" s="6" t="s">
        <v>62</v>
      </c>
      <c r="C37" s="7"/>
      <c r="D37" s="7"/>
    </row>
    <row r="38" spans="2:8" x14ac:dyDescent="0.35">
      <c r="B38" s="8" t="s">
        <v>63</v>
      </c>
      <c r="C38" s="11">
        <f>MIN(perm_field_hrs,hrs_total)</f>
        <v>720</v>
      </c>
    </row>
    <row r="39" spans="2:8" x14ac:dyDescent="0.35">
      <c r="B39" s="8" t="s">
        <v>64</v>
      </c>
      <c r="C39" s="11">
        <f>hrs_total-perm_used</f>
        <v>4557.2161142738878</v>
      </c>
    </row>
    <row r="40" spans="2:8" x14ac:dyDescent="0.35">
      <c r="B40" s="8" t="s">
        <v>65</v>
      </c>
      <c r="C40" s="18">
        <f>temp_hrs/temp_hrs_each</f>
        <v>3.1647334126901998</v>
      </c>
      <c r="D40" s="8" t="str">
        <f>IF(temp_needed&gt;temp_max,"INFEASIBLE — exceeds temp max","ok")</f>
        <v>ok</v>
      </c>
    </row>
    <row r="41" spans="2:8" x14ac:dyDescent="0.35">
      <c r="B41" s="8" t="s">
        <v>66</v>
      </c>
      <c r="C41" s="21">
        <f>perm_used*wage_perm+temp_hrs*wage_temp</f>
        <v>104118.335317255</v>
      </c>
    </row>
    <row r="43" spans="2:8" x14ac:dyDescent="0.35">
      <c r="B43" s="6" t="s">
        <v>67</v>
      </c>
      <c r="C43" s="7"/>
      <c r="D43" s="7"/>
    </row>
    <row r="44" spans="2:8" x14ac:dyDescent="0.35">
      <c r="B44" s="8" t="s">
        <v>68</v>
      </c>
      <c r="C44" s="21">
        <f>rev_total</f>
        <v>210880</v>
      </c>
    </row>
    <row r="45" spans="2:8" x14ac:dyDescent="0.35">
      <c r="B45" s="8" t="s">
        <v>69</v>
      </c>
      <c r="C45" s="21">
        <f>H35</f>
        <v>148118.335317255</v>
      </c>
    </row>
    <row r="46" spans="2:8" x14ac:dyDescent="0.35">
      <c r="B46" s="8" t="s">
        <v>70</v>
      </c>
      <c r="C46" s="21">
        <f>costs_fixed</f>
        <v>20000</v>
      </c>
    </row>
    <row r="47" spans="2:8" x14ac:dyDescent="0.35">
      <c r="B47" s="8" t="s">
        <v>71</v>
      </c>
      <c r="C47" s="21">
        <f>C45+C46</f>
        <v>168118.335317255</v>
      </c>
    </row>
    <row r="48" spans="2:8" x14ac:dyDescent="0.35">
      <c r="B48" s="22" t="s">
        <v>67</v>
      </c>
      <c r="C48" s="24">
        <f>rev_total-costs_total</f>
        <v>42761.664682745002</v>
      </c>
    </row>
    <row r="49" spans="2:4" x14ac:dyDescent="0.35">
      <c r="B49" s="8" t="s">
        <v>72</v>
      </c>
      <c r="C49" s="8" t="str">
        <f>IF(beds_total&gt;beds_max,"OVER 64 BEDS","ok")</f>
        <v>ok</v>
      </c>
    </row>
    <row r="51" spans="2:4" x14ac:dyDescent="0.35">
      <c r="B51" s="6" t="s">
        <v>73</v>
      </c>
      <c r="C51" s="7"/>
      <c r="D51" s="7"/>
    </row>
    <row r="52" spans="2:4" x14ac:dyDescent="0.35">
      <c r="B52" s="22" t="s">
        <v>74</v>
      </c>
      <c r="C52" s="8" t="s">
        <v>75</v>
      </c>
    </row>
    <row r="53" spans="2:4" x14ac:dyDescent="0.35">
      <c r="B53" s="22" t="s">
        <v>76</v>
      </c>
      <c r="C53" s="8" t="s">
        <v>77</v>
      </c>
    </row>
    <row r="54" spans="2:4" x14ac:dyDescent="0.35">
      <c r="B54" s="22" t="s">
        <v>30</v>
      </c>
      <c r="C54" s="8" t="s">
        <v>78</v>
      </c>
    </row>
    <row r="55" spans="2:4" x14ac:dyDescent="0.35">
      <c r="B55" s="22" t="s">
        <v>79</v>
      </c>
      <c r="C55" s="8" t="s">
        <v>80</v>
      </c>
    </row>
    <row r="56" spans="2:4" x14ac:dyDescent="0.35">
      <c r="B56" s="22" t="s">
        <v>81</v>
      </c>
      <c r="C56" s="8" t="s">
        <v>82</v>
      </c>
    </row>
    <row r="57" spans="2:4" x14ac:dyDescent="0.35">
      <c r="B57" s="22" t="s">
        <v>83</v>
      </c>
      <c r="C57" s="8" t="s">
        <v>84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P86"/>
  <sheetViews>
    <sheetView zoomScaleNormal="100" workbookViewId="0">
      <pane ySplit="5" topLeftCell="A6" activePane="bottomLeft" state="frozen"/>
      <selection pane="bottomLeft" activeCell="A6" sqref="A6"/>
    </sheetView>
  </sheetViews>
  <sheetFormatPr defaultColWidth="8.453125" defaultRowHeight="14.5" x14ac:dyDescent="0.35"/>
  <cols>
    <col min="1" max="1" width="2" customWidth="1"/>
    <col min="2" max="2" width="6" customWidth="1"/>
    <col min="3" max="3" width="11" customWidth="1"/>
    <col min="4" max="5" width="10" customWidth="1"/>
    <col min="6" max="6" width="8" customWidth="1"/>
    <col min="7" max="8" width="11" customWidth="1"/>
    <col min="9" max="10" width="12" customWidth="1"/>
    <col min="11" max="12" width="11" customWidth="1"/>
    <col min="13" max="13" width="12" customWidth="1"/>
    <col min="14" max="14" width="16" customWidth="1"/>
    <col min="15" max="15" width="9" customWidth="1"/>
    <col min="16" max="16" width="11" customWidth="1"/>
  </cols>
  <sheetData>
    <row r="2" spans="2:16" ht="18" x14ac:dyDescent="0.4">
      <c r="B2" s="1" t="s">
        <v>85</v>
      </c>
    </row>
    <row r="4" spans="2:16" x14ac:dyDescent="0.35">
      <c r="B4" s="6" t="s">
        <v>86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2:16" x14ac:dyDescent="0.35">
      <c r="B5" s="12" t="s">
        <v>87</v>
      </c>
      <c r="C5" s="12" t="s">
        <v>57</v>
      </c>
      <c r="D5" s="12" t="s">
        <v>88</v>
      </c>
      <c r="E5" s="12" t="s">
        <v>89</v>
      </c>
      <c r="F5" s="12" t="s">
        <v>90</v>
      </c>
      <c r="G5" s="12" t="s">
        <v>58</v>
      </c>
      <c r="H5" s="12" t="s">
        <v>91</v>
      </c>
      <c r="I5" s="12" t="s">
        <v>60</v>
      </c>
      <c r="J5" s="12" t="s">
        <v>92</v>
      </c>
      <c r="K5" s="12" t="s">
        <v>93</v>
      </c>
      <c r="L5" s="12" t="s">
        <v>94</v>
      </c>
      <c r="M5" s="12" t="s">
        <v>95</v>
      </c>
      <c r="N5" s="12" t="s">
        <v>96</v>
      </c>
      <c r="O5" s="12" t="s">
        <v>97</v>
      </c>
      <c r="P5" s="12" t="s">
        <v>98</v>
      </c>
    </row>
    <row r="6" spans="2:16" x14ac:dyDescent="0.35">
      <c r="B6" s="20">
        <v>0</v>
      </c>
      <c r="C6" s="11">
        <f t="shared" ref="C6:C26" si="0">B6*laborwk_tomato*season_wks*(1+dim_tomato)^B6</f>
        <v>0</v>
      </c>
      <c r="D6" s="11">
        <f t="shared" ref="D6:D26" si="1">MIN(perm_field_hrs,C6)</f>
        <v>0</v>
      </c>
      <c r="E6" s="11">
        <f t="shared" ref="E6:E26" si="2">C6-D6</f>
        <v>0</v>
      </c>
      <c r="F6" s="18">
        <f t="shared" ref="F6:F26" si="3">E6/temp_hrs_each</f>
        <v>0</v>
      </c>
      <c r="G6" s="21">
        <f t="shared" ref="G6:G26" si="4">D6*wage_perm+E6*wage_temp</f>
        <v>0</v>
      </c>
      <c r="H6" s="21">
        <f t="shared" ref="H6:H26" si="5">B6*fert_tomato</f>
        <v>0</v>
      </c>
      <c r="I6" s="21">
        <f t="shared" ref="I6:I26" si="6">G6+H6</f>
        <v>0</v>
      </c>
      <c r="J6" s="21">
        <f t="shared" ref="J6:J26" si="7">I6+costs_fixed</f>
        <v>20000</v>
      </c>
      <c r="M6" s="21">
        <f t="shared" ref="M6:M26" si="8">B6*price_tomato-J6</f>
        <v>-20000</v>
      </c>
    </row>
    <row r="7" spans="2:16" x14ac:dyDescent="0.35">
      <c r="B7" s="20">
        <v>1</v>
      </c>
      <c r="C7" s="11">
        <f t="shared" si="0"/>
        <v>99.000000000000014</v>
      </c>
      <c r="D7" s="11">
        <f t="shared" si="1"/>
        <v>99.000000000000014</v>
      </c>
      <c r="E7" s="11">
        <f t="shared" si="2"/>
        <v>0</v>
      </c>
      <c r="F7" s="18">
        <f t="shared" si="3"/>
        <v>0</v>
      </c>
      <c r="G7" s="21">
        <f t="shared" si="4"/>
        <v>3437.5000000000005</v>
      </c>
      <c r="H7" s="21">
        <f t="shared" si="5"/>
        <v>880</v>
      </c>
      <c r="I7" s="21">
        <f t="shared" si="6"/>
        <v>4317.5</v>
      </c>
      <c r="J7" s="21">
        <f t="shared" si="7"/>
        <v>24317.5</v>
      </c>
      <c r="K7" s="21">
        <f t="shared" ref="K7:K26" si="9">J7-J6</f>
        <v>4317.5</v>
      </c>
      <c r="L7" s="21">
        <f t="shared" ref="L7:L26" si="10">I7/B7</f>
        <v>4317.5</v>
      </c>
      <c r="M7" s="21">
        <f t="shared" si="8"/>
        <v>-15517.5</v>
      </c>
      <c r="N7" s="8" t="str">
        <f t="shared" ref="N7:N25" si="11">IF(F7&gt;temp_max,"INFEASIBLE",IF(AND(price_tomato&gt;K7,price_tomato&lt;K8),"&lt;-- P ~ MC",""))</f>
        <v/>
      </c>
      <c r="O7" s="26">
        <f t="shared" ref="O7:O26" si="12">(B7+B6)/2</f>
        <v>0.5</v>
      </c>
      <c r="P7" s="21">
        <f t="shared" ref="P7:P26" si="13">price_tomato</f>
        <v>8800</v>
      </c>
    </row>
    <row r="8" spans="2:16" x14ac:dyDescent="0.35">
      <c r="B8" s="20">
        <v>2</v>
      </c>
      <c r="C8" s="11">
        <f t="shared" si="0"/>
        <v>217.80000000000004</v>
      </c>
      <c r="D8" s="11">
        <f t="shared" si="1"/>
        <v>217.80000000000004</v>
      </c>
      <c r="E8" s="11">
        <f t="shared" si="2"/>
        <v>0</v>
      </c>
      <c r="F8" s="18">
        <f t="shared" si="3"/>
        <v>0</v>
      </c>
      <c r="G8" s="21">
        <f t="shared" si="4"/>
        <v>7562.5000000000009</v>
      </c>
      <c r="H8" s="21">
        <f t="shared" si="5"/>
        <v>1760</v>
      </c>
      <c r="I8" s="21">
        <f t="shared" si="6"/>
        <v>9322.5</v>
      </c>
      <c r="J8" s="21">
        <f t="shared" si="7"/>
        <v>29322.5</v>
      </c>
      <c r="K8" s="21">
        <f t="shared" si="9"/>
        <v>5005</v>
      </c>
      <c r="L8" s="21">
        <f t="shared" si="10"/>
        <v>4661.25</v>
      </c>
      <c r="M8" s="21">
        <f t="shared" si="8"/>
        <v>-11722.5</v>
      </c>
      <c r="N8" s="8" t="str">
        <f t="shared" si="11"/>
        <v/>
      </c>
      <c r="O8" s="26">
        <f t="shared" si="12"/>
        <v>1.5</v>
      </c>
      <c r="P8" s="21">
        <f t="shared" si="13"/>
        <v>8800</v>
      </c>
    </row>
    <row r="9" spans="2:16" x14ac:dyDescent="0.35">
      <c r="B9" s="20">
        <v>3</v>
      </c>
      <c r="C9" s="11">
        <f t="shared" si="0"/>
        <v>359.37000000000012</v>
      </c>
      <c r="D9" s="11">
        <f t="shared" si="1"/>
        <v>359.37000000000012</v>
      </c>
      <c r="E9" s="11">
        <f t="shared" si="2"/>
        <v>0</v>
      </c>
      <c r="F9" s="18">
        <f t="shared" si="3"/>
        <v>0</v>
      </c>
      <c r="G9" s="21">
        <f t="shared" si="4"/>
        <v>12478.125000000004</v>
      </c>
      <c r="H9" s="21">
        <f t="shared" si="5"/>
        <v>2640</v>
      </c>
      <c r="I9" s="21">
        <f t="shared" si="6"/>
        <v>15118.125000000004</v>
      </c>
      <c r="J9" s="21">
        <f t="shared" si="7"/>
        <v>35118.125</v>
      </c>
      <c r="K9" s="21">
        <f t="shared" si="9"/>
        <v>5795.625</v>
      </c>
      <c r="L9" s="21">
        <f t="shared" si="10"/>
        <v>5039.3750000000009</v>
      </c>
      <c r="M9" s="21">
        <f t="shared" si="8"/>
        <v>-8718.125</v>
      </c>
      <c r="N9" s="8" t="str">
        <f t="shared" si="11"/>
        <v/>
      </c>
      <c r="O9" s="26">
        <f t="shared" si="12"/>
        <v>2.5</v>
      </c>
      <c r="P9" s="21">
        <f t="shared" si="13"/>
        <v>8800</v>
      </c>
    </row>
    <row r="10" spans="2:16" x14ac:dyDescent="0.35">
      <c r="B10" s="20">
        <v>4</v>
      </c>
      <c r="C10" s="11">
        <f t="shared" si="0"/>
        <v>527.07600000000014</v>
      </c>
      <c r="D10" s="11">
        <f t="shared" si="1"/>
        <v>527.07600000000014</v>
      </c>
      <c r="E10" s="11">
        <f t="shared" si="2"/>
        <v>0</v>
      </c>
      <c r="F10" s="18">
        <f t="shared" si="3"/>
        <v>0</v>
      </c>
      <c r="G10" s="21">
        <f t="shared" si="4"/>
        <v>18301.250000000004</v>
      </c>
      <c r="H10" s="21">
        <f t="shared" si="5"/>
        <v>3520</v>
      </c>
      <c r="I10" s="21">
        <f t="shared" si="6"/>
        <v>21821.250000000004</v>
      </c>
      <c r="J10" s="21">
        <f t="shared" si="7"/>
        <v>41821.25</v>
      </c>
      <c r="K10" s="21">
        <f t="shared" si="9"/>
        <v>6703.125</v>
      </c>
      <c r="L10" s="21">
        <f t="shared" si="10"/>
        <v>5455.3125000000009</v>
      </c>
      <c r="M10" s="21">
        <f t="shared" si="8"/>
        <v>-6621.25</v>
      </c>
      <c r="N10" s="8" t="str">
        <f t="shared" si="11"/>
        <v/>
      </c>
      <c r="O10" s="26">
        <f t="shared" si="12"/>
        <v>3.5</v>
      </c>
      <c r="P10" s="21">
        <f t="shared" si="13"/>
        <v>8800</v>
      </c>
    </row>
    <row r="11" spans="2:16" x14ac:dyDescent="0.35">
      <c r="B11" s="20">
        <v>5</v>
      </c>
      <c r="C11" s="11">
        <f t="shared" si="0"/>
        <v>724.72950000000026</v>
      </c>
      <c r="D11" s="11">
        <f t="shared" si="1"/>
        <v>720</v>
      </c>
      <c r="E11" s="11">
        <f t="shared" si="2"/>
        <v>4.7295000000002574</v>
      </c>
      <c r="F11" s="18">
        <f t="shared" si="3"/>
        <v>3.2843750000001786E-3</v>
      </c>
      <c r="G11" s="21">
        <f t="shared" si="4"/>
        <v>25082.109375000004</v>
      </c>
      <c r="H11" s="21">
        <f t="shared" si="5"/>
        <v>4400</v>
      </c>
      <c r="I11" s="21">
        <f t="shared" si="6"/>
        <v>29482.109375000004</v>
      </c>
      <c r="J11" s="21">
        <f t="shared" si="7"/>
        <v>49482.109375</v>
      </c>
      <c r="K11" s="21">
        <f t="shared" si="9"/>
        <v>7660.859375</v>
      </c>
      <c r="L11" s="21">
        <f t="shared" si="10"/>
        <v>5896.4218750000009</v>
      </c>
      <c r="M11" s="21">
        <f t="shared" si="8"/>
        <v>-5482.109375</v>
      </c>
      <c r="N11" s="8" t="str">
        <f t="shared" si="11"/>
        <v/>
      </c>
      <c r="O11" s="26">
        <f t="shared" si="12"/>
        <v>4.5</v>
      </c>
      <c r="P11" s="21">
        <f t="shared" si="13"/>
        <v>8800</v>
      </c>
    </row>
    <row r="12" spans="2:16" x14ac:dyDescent="0.35">
      <c r="B12" s="20">
        <v>6</v>
      </c>
      <c r="C12" s="11">
        <f t="shared" si="0"/>
        <v>956.64294000000041</v>
      </c>
      <c r="D12" s="11">
        <f t="shared" si="1"/>
        <v>720</v>
      </c>
      <c r="E12" s="11">
        <f t="shared" si="2"/>
        <v>236.64294000000041</v>
      </c>
      <c r="F12" s="18">
        <f t="shared" si="3"/>
        <v>0.16433537500000028</v>
      </c>
      <c r="G12" s="21">
        <f t="shared" si="4"/>
        <v>29108.384375000009</v>
      </c>
      <c r="H12" s="21">
        <f t="shared" si="5"/>
        <v>5280</v>
      </c>
      <c r="I12" s="21">
        <f t="shared" si="6"/>
        <v>34388.384375000009</v>
      </c>
      <c r="J12" s="21">
        <f t="shared" si="7"/>
        <v>54388.384375000009</v>
      </c>
      <c r="K12" s="21">
        <f t="shared" si="9"/>
        <v>4906.2750000000087</v>
      </c>
      <c r="L12" s="21">
        <f t="shared" si="10"/>
        <v>5731.3973958333345</v>
      </c>
      <c r="M12" s="21">
        <f t="shared" si="8"/>
        <v>-1588.3843750000087</v>
      </c>
      <c r="N12" s="8" t="str">
        <f t="shared" si="11"/>
        <v/>
      </c>
      <c r="O12" s="26">
        <f t="shared" si="12"/>
        <v>5.5</v>
      </c>
      <c r="P12" s="21">
        <f t="shared" si="13"/>
        <v>8800</v>
      </c>
    </row>
    <row r="13" spans="2:16" x14ac:dyDescent="0.35">
      <c r="B13" s="20">
        <v>7</v>
      </c>
      <c r="C13" s="11">
        <f t="shared" si="0"/>
        <v>1227.6917730000007</v>
      </c>
      <c r="D13" s="11">
        <f t="shared" si="1"/>
        <v>720</v>
      </c>
      <c r="E13" s="11">
        <f t="shared" si="2"/>
        <v>507.69177300000069</v>
      </c>
      <c r="F13" s="18">
        <f t="shared" si="3"/>
        <v>0.35256373125000046</v>
      </c>
      <c r="G13" s="21">
        <f t="shared" si="4"/>
        <v>33814.09328125001</v>
      </c>
      <c r="H13" s="21">
        <f t="shared" si="5"/>
        <v>6160</v>
      </c>
      <c r="I13" s="21">
        <f t="shared" si="6"/>
        <v>39974.09328125001</v>
      </c>
      <c r="J13" s="21">
        <f t="shared" si="7"/>
        <v>59974.09328125001</v>
      </c>
      <c r="K13" s="21">
        <f t="shared" si="9"/>
        <v>5585.7089062500017</v>
      </c>
      <c r="L13" s="21">
        <f t="shared" si="10"/>
        <v>5710.5847544642875</v>
      </c>
      <c r="M13" s="21">
        <f t="shared" si="8"/>
        <v>1625.9067187499895</v>
      </c>
      <c r="N13" s="8" t="str">
        <f t="shared" si="11"/>
        <v/>
      </c>
      <c r="O13" s="26">
        <f t="shared" si="12"/>
        <v>6.5</v>
      </c>
      <c r="P13" s="21">
        <f t="shared" si="13"/>
        <v>8800</v>
      </c>
    </row>
    <row r="14" spans="2:16" x14ac:dyDescent="0.35">
      <c r="B14" s="20">
        <v>8</v>
      </c>
      <c r="C14" s="11">
        <f t="shared" si="0"/>
        <v>1543.3839432000009</v>
      </c>
      <c r="D14" s="11">
        <f t="shared" si="1"/>
        <v>720</v>
      </c>
      <c r="E14" s="11">
        <f t="shared" si="2"/>
        <v>823.38394320000089</v>
      </c>
      <c r="F14" s="18">
        <f t="shared" si="3"/>
        <v>0.57179440500000056</v>
      </c>
      <c r="G14" s="21">
        <f t="shared" si="4"/>
        <v>39294.860125000014</v>
      </c>
      <c r="H14" s="21">
        <f t="shared" si="5"/>
        <v>7040</v>
      </c>
      <c r="I14" s="21">
        <f t="shared" si="6"/>
        <v>46334.860125000014</v>
      </c>
      <c r="J14" s="21">
        <f t="shared" si="7"/>
        <v>66334.860125000007</v>
      </c>
      <c r="K14" s="21">
        <f t="shared" si="9"/>
        <v>6360.766843749996</v>
      </c>
      <c r="L14" s="21">
        <f t="shared" si="10"/>
        <v>5791.8575156250017</v>
      </c>
      <c r="M14" s="21">
        <f t="shared" si="8"/>
        <v>4065.1398749999935</v>
      </c>
      <c r="N14" s="8" t="str">
        <f t="shared" si="11"/>
        <v/>
      </c>
      <c r="O14" s="26">
        <f t="shared" si="12"/>
        <v>7.5</v>
      </c>
      <c r="P14" s="21">
        <f t="shared" si="13"/>
        <v>8800</v>
      </c>
    </row>
    <row r="15" spans="2:16" x14ac:dyDescent="0.35">
      <c r="B15" s="20">
        <v>9</v>
      </c>
      <c r="C15" s="11">
        <f t="shared" si="0"/>
        <v>1909.9376297100011</v>
      </c>
      <c r="D15" s="11">
        <f t="shared" si="1"/>
        <v>720</v>
      </c>
      <c r="E15" s="11">
        <f t="shared" si="2"/>
        <v>1189.9376297100011</v>
      </c>
      <c r="F15" s="18">
        <f t="shared" si="3"/>
        <v>0.82634557618750082</v>
      </c>
      <c r="G15" s="21">
        <f t="shared" si="4"/>
        <v>45658.639404687521</v>
      </c>
      <c r="H15" s="21">
        <f t="shared" si="5"/>
        <v>7920</v>
      </c>
      <c r="I15" s="21">
        <f t="shared" si="6"/>
        <v>53578.639404687521</v>
      </c>
      <c r="J15" s="21">
        <f t="shared" si="7"/>
        <v>73578.639404687521</v>
      </c>
      <c r="K15" s="21">
        <f t="shared" si="9"/>
        <v>7243.7792796875146</v>
      </c>
      <c r="L15" s="21">
        <f t="shared" si="10"/>
        <v>5953.182156076391</v>
      </c>
      <c r="M15" s="21">
        <f t="shared" si="8"/>
        <v>5621.3605953124788</v>
      </c>
      <c r="N15" s="8" t="str">
        <f t="shared" si="11"/>
        <v/>
      </c>
      <c r="O15" s="26">
        <f t="shared" si="12"/>
        <v>8.5</v>
      </c>
      <c r="P15" s="21">
        <f t="shared" si="13"/>
        <v>8800</v>
      </c>
    </row>
    <row r="16" spans="2:16" x14ac:dyDescent="0.35">
      <c r="B16" s="20">
        <v>10</v>
      </c>
      <c r="C16" s="11">
        <f t="shared" si="0"/>
        <v>2334.3682140900019</v>
      </c>
      <c r="D16" s="11">
        <f t="shared" si="1"/>
        <v>720</v>
      </c>
      <c r="E16" s="11">
        <f t="shared" si="2"/>
        <v>1614.3682140900019</v>
      </c>
      <c r="F16" s="18">
        <f t="shared" si="3"/>
        <v>1.1210890375625013</v>
      </c>
      <c r="G16" s="21">
        <f t="shared" si="4"/>
        <v>53027.225939062533</v>
      </c>
      <c r="H16" s="21">
        <f t="shared" si="5"/>
        <v>8800</v>
      </c>
      <c r="I16" s="21">
        <f t="shared" si="6"/>
        <v>61827.225939062533</v>
      </c>
      <c r="J16" s="21">
        <f t="shared" si="7"/>
        <v>81827.22593906254</v>
      </c>
      <c r="K16" s="21">
        <f t="shared" si="9"/>
        <v>8248.5865343750193</v>
      </c>
      <c r="L16" s="21">
        <f t="shared" si="10"/>
        <v>6182.7225939062537</v>
      </c>
      <c r="M16" s="21">
        <f t="shared" si="8"/>
        <v>6172.7740609374596</v>
      </c>
      <c r="N16" s="8" t="str">
        <f t="shared" si="11"/>
        <v>&lt;-- P ~ MC</v>
      </c>
      <c r="O16" s="26">
        <f t="shared" si="12"/>
        <v>9.5</v>
      </c>
      <c r="P16" s="21">
        <f t="shared" si="13"/>
        <v>8800</v>
      </c>
    </row>
    <row r="17" spans="2:16" x14ac:dyDescent="0.35">
      <c r="B17" s="20">
        <v>11</v>
      </c>
      <c r="C17" s="11">
        <f t="shared" si="0"/>
        <v>2824.5855390489023</v>
      </c>
      <c r="D17" s="11">
        <f t="shared" si="1"/>
        <v>720</v>
      </c>
      <c r="E17" s="11">
        <f t="shared" si="2"/>
        <v>2104.5855390489023</v>
      </c>
      <c r="F17" s="18">
        <f t="shared" si="3"/>
        <v>1.4615177354506266</v>
      </c>
      <c r="G17" s="21">
        <f t="shared" si="4"/>
        <v>61537.943386265666</v>
      </c>
      <c r="H17" s="21">
        <f t="shared" si="5"/>
        <v>9680</v>
      </c>
      <c r="I17" s="21">
        <f t="shared" si="6"/>
        <v>71217.943386265659</v>
      </c>
      <c r="J17" s="21">
        <f t="shared" si="7"/>
        <v>91217.943386265659</v>
      </c>
      <c r="K17" s="21">
        <f t="shared" si="9"/>
        <v>9390.7174472031184</v>
      </c>
      <c r="L17" s="21">
        <f t="shared" si="10"/>
        <v>6474.3584896605144</v>
      </c>
      <c r="M17" s="21">
        <f t="shared" si="8"/>
        <v>5582.0566137343412</v>
      </c>
      <c r="N17" s="8" t="str">
        <f t="shared" si="11"/>
        <v/>
      </c>
      <c r="O17" s="26">
        <f t="shared" si="12"/>
        <v>10.5</v>
      </c>
      <c r="P17" s="21">
        <f t="shared" si="13"/>
        <v>8800</v>
      </c>
    </row>
    <row r="18" spans="2:16" x14ac:dyDescent="0.35">
      <c r="B18" s="20">
        <v>12</v>
      </c>
      <c r="C18" s="11">
        <f t="shared" si="0"/>
        <v>3389.502646858683</v>
      </c>
      <c r="D18" s="11">
        <f t="shared" si="1"/>
        <v>720</v>
      </c>
      <c r="E18" s="11">
        <f t="shared" si="2"/>
        <v>2669.502646858683</v>
      </c>
      <c r="F18" s="18">
        <f t="shared" si="3"/>
        <v>1.8538212825407521</v>
      </c>
      <c r="G18" s="21">
        <f t="shared" si="4"/>
        <v>71345.532063518796</v>
      </c>
      <c r="H18" s="21">
        <f t="shared" si="5"/>
        <v>10560</v>
      </c>
      <c r="I18" s="21">
        <f t="shared" si="6"/>
        <v>81905.532063518796</v>
      </c>
      <c r="J18" s="21">
        <f t="shared" si="7"/>
        <v>101905.5320635188</v>
      </c>
      <c r="K18" s="21">
        <f t="shared" si="9"/>
        <v>10687.588677253138</v>
      </c>
      <c r="L18" s="21">
        <f t="shared" si="10"/>
        <v>6825.461005293233</v>
      </c>
      <c r="M18" s="21">
        <f t="shared" si="8"/>
        <v>3694.4679364812037</v>
      </c>
      <c r="N18" s="8" t="str">
        <f t="shared" si="11"/>
        <v/>
      </c>
      <c r="O18" s="26">
        <f t="shared" si="12"/>
        <v>11.5</v>
      </c>
      <c r="P18" s="21">
        <f t="shared" si="13"/>
        <v>8800</v>
      </c>
    </row>
    <row r="19" spans="2:16" x14ac:dyDescent="0.35">
      <c r="B19" s="20">
        <v>13</v>
      </c>
      <c r="C19" s="11">
        <f t="shared" si="0"/>
        <v>4039.1573208399304</v>
      </c>
      <c r="D19" s="11">
        <f t="shared" si="1"/>
        <v>720</v>
      </c>
      <c r="E19" s="11">
        <f t="shared" si="2"/>
        <v>3319.1573208399304</v>
      </c>
      <c r="F19" s="18">
        <f t="shared" si="3"/>
        <v>2.3049703616943962</v>
      </c>
      <c r="G19" s="21">
        <f t="shared" si="4"/>
        <v>82624.259042359903</v>
      </c>
      <c r="H19" s="21">
        <f t="shared" si="5"/>
        <v>11440</v>
      </c>
      <c r="I19" s="21">
        <f t="shared" si="6"/>
        <v>94064.259042359903</v>
      </c>
      <c r="J19" s="21">
        <f t="shared" si="7"/>
        <v>114064.2590423599</v>
      </c>
      <c r="K19" s="21">
        <f t="shared" si="9"/>
        <v>12158.726978841107</v>
      </c>
      <c r="L19" s="21">
        <f t="shared" si="10"/>
        <v>7235.7122340276846</v>
      </c>
      <c r="M19" s="21">
        <f t="shared" si="8"/>
        <v>335.74095764009689</v>
      </c>
      <c r="N19" s="8" t="str">
        <f t="shared" si="11"/>
        <v/>
      </c>
      <c r="O19" s="26">
        <f t="shared" si="12"/>
        <v>12.5</v>
      </c>
      <c r="P19" s="21">
        <f t="shared" si="13"/>
        <v>8800</v>
      </c>
    </row>
    <row r="20" spans="2:16" x14ac:dyDescent="0.35">
      <c r="B20" s="20">
        <v>14</v>
      </c>
      <c r="C20" s="11">
        <f t="shared" si="0"/>
        <v>4784.8479031488414</v>
      </c>
      <c r="D20" s="11">
        <f t="shared" si="1"/>
        <v>720</v>
      </c>
      <c r="E20" s="11">
        <f t="shared" si="2"/>
        <v>4064.8479031488414</v>
      </c>
      <c r="F20" s="18">
        <f t="shared" si="3"/>
        <v>2.822811043853362</v>
      </c>
      <c r="G20" s="21">
        <f t="shared" si="4"/>
        <v>95570.276096334055</v>
      </c>
      <c r="H20" s="21">
        <f t="shared" si="5"/>
        <v>12320</v>
      </c>
      <c r="I20" s="21">
        <f t="shared" si="6"/>
        <v>107890.27609633406</v>
      </c>
      <c r="J20" s="21">
        <f t="shared" si="7"/>
        <v>127890.27609633406</v>
      </c>
      <c r="K20" s="21">
        <f t="shared" si="9"/>
        <v>13826.017053974152</v>
      </c>
      <c r="L20" s="21">
        <f t="shared" si="10"/>
        <v>7706.4482925952898</v>
      </c>
      <c r="M20" s="21">
        <f t="shared" si="8"/>
        <v>-4690.2760963340552</v>
      </c>
      <c r="N20" s="8" t="str">
        <f t="shared" si="11"/>
        <v/>
      </c>
      <c r="O20" s="26">
        <f t="shared" si="12"/>
        <v>13.5</v>
      </c>
      <c r="P20" s="21">
        <f t="shared" si="13"/>
        <v>8800</v>
      </c>
    </row>
    <row r="21" spans="2:16" x14ac:dyDescent="0.35">
      <c r="B21" s="20">
        <v>15</v>
      </c>
      <c r="C21" s="11">
        <f t="shared" si="0"/>
        <v>5639.2850287111351</v>
      </c>
      <c r="D21" s="11">
        <f t="shared" si="1"/>
        <v>720</v>
      </c>
      <c r="E21" s="11">
        <f t="shared" si="2"/>
        <v>4919.2850287111351</v>
      </c>
      <c r="F21" s="18">
        <f t="shared" si="3"/>
        <v>3.4161701588271773</v>
      </c>
      <c r="G21" s="21">
        <f t="shared" si="4"/>
        <v>110404.25397067942</v>
      </c>
      <c r="H21" s="21">
        <f t="shared" si="5"/>
        <v>13200</v>
      </c>
      <c r="I21" s="21">
        <f t="shared" si="6"/>
        <v>123604.25397067942</v>
      </c>
      <c r="J21" s="21">
        <f t="shared" si="7"/>
        <v>143604.25397067942</v>
      </c>
      <c r="K21" s="21">
        <f t="shared" si="9"/>
        <v>15713.977874345364</v>
      </c>
      <c r="L21" s="21">
        <f t="shared" si="10"/>
        <v>8240.2835980452946</v>
      </c>
      <c r="M21" s="21">
        <f t="shared" si="8"/>
        <v>-11604.25397067942</v>
      </c>
      <c r="N21" s="8" t="str">
        <f t="shared" si="11"/>
        <v/>
      </c>
      <c r="O21" s="26">
        <f t="shared" si="12"/>
        <v>14.5</v>
      </c>
      <c r="P21" s="21">
        <f t="shared" si="13"/>
        <v>8800</v>
      </c>
    </row>
    <row r="22" spans="2:16" x14ac:dyDescent="0.35">
      <c r="B22" s="20">
        <v>16</v>
      </c>
      <c r="C22" s="11">
        <f t="shared" si="0"/>
        <v>6616.761100354398</v>
      </c>
      <c r="D22" s="11">
        <f t="shared" si="1"/>
        <v>720</v>
      </c>
      <c r="E22" s="11">
        <f t="shared" si="2"/>
        <v>5896.761100354398</v>
      </c>
      <c r="F22" s="18">
        <f t="shared" si="3"/>
        <v>4.0949729863572211</v>
      </c>
      <c r="G22" s="21">
        <f t="shared" si="4"/>
        <v>127374.32465893052</v>
      </c>
      <c r="H22" s="21">
        <f t="shared" si="5"/>
        <v>14080</v>
      </c>
      <c r="I22" s="21">
        <f t="shared" si="6"/>
        <v>141454.32465893053</v>
      </c>
      <c r="J22" s="21">
        <f t="shared" si="7"/>
        <v>161454.32465893053</v>
      </c>
      <c r="K22" s="21">
        <f t="shared" si="9"/>
        <v>17850.070688251115</v>
      </c>
      <c r="L22" s="21">
        <f t="shared" si="10"/>
        <v>8840.8952911831584</v>
      </c>
      <c r="M22" s="21">
        <f t="shared" si="8"/>
        <v>-20654.324658930534</v>
      </c>
      <c r="N22" s="8" t="str">
        <f t="shared" si="11"/>
        <v>INFEASIBLE</v>
      </c>
      <c r="O22" s="26">
        <f t="shared" si="12"/>
        <v>15.5</v>
      </c>
      <c r="P22" s="21">
        <f t="shared" si="13"/>
        <v>8800</v>
      </c>
    </row>
    <row r="23" spans="2:16" x14ac:dyDescent="0.35">
      <c r="B23" s="20">
        <v>17</v>
      </c>
      <c r="C23" s="11">
        <f t="shared" si="0"/>
        <v>7733.3395360392033</v>
      </c>
      <c r="D23" s="11">
        <f t="shared" si="1"/>
        <v>720</v>
      </c>
      <c r="E23" s="11">
        <f t="shared" si="2"/>
        <v>7013.3395360392033</v>
      </c>
      <c r="F23" s="18">
        <f t="shared" si="3"/>
        <v>4.8703746778050023</v>
      </c>
      <c r="G23" s="21">
        <f t="shared" si="4"/>
        <v>146759.36694512505</v>
      </c>
      <c r="H23" s="21">
        <f t="shared" si="5"/>
        <v>14960</v>
      </c>
      <c r="I23" s="21">
        <f t="shared" si="6"/>
        <v>161719.36694512505</v>
      </c>
      <c r="J23" s="21">
        <f t="shared" si="7"/>
        <v>181719.36694512505</v>
      </c>
      <c r="K23" s="21">
        <f t="shared" si="9"/>
        <v>20265.042286194512</v>
      </c>
      <c r="L23" s="21">
        <f t="shared" si="10"/>
        <v>9512.903937948533</v>
      </c>
      <c r="M23" s="21">
        <f t="shared" si="8"/>
        <v>-32119.366945125046</v>
      </c>
      <c r="N23" s="8" t="str">
        <f t="shared" si="11"/>
        <v>INFEASIBLE</v>
      </c>
      <c r="O23" s="26">
        <f t="shared" si="12"/>
        <v>16.5</v>
      </c>
      <c r="P23" s="21">
        <f t="shared" si="13"/>
        <v>8800</v>
      </c>
    </row>
    <row r="24" spans="2:16" x14ac:dyDescent="0.35">
      <c r="B24" s="20">
        <v>18</v>
      </c>
      <c r="C24" s="11">
        <f t="shared" si="0"/>
        <v>9007.0660478574246</v>
      </c>
      <c r="D24" s="11">
        <f t="shared" si="1"/>
        <v>720</v>
      </c>
      <c r="E24" s="11">
        <f t="shared" si="2"/>
        <v>8287.0660478574246</v>
      </c>
      <c r="F24" s="18">
        <f t="shared" si="3"/>
        <v>5.7549069776787674</v>
      </c>
      <c r="G24" s="21">
        <f t="shared" si="4"/>
        <v>168872.67444196917</v>
      </c>
      <c r="H24" s="21">
        <f t="shared" si="5"/>
        <v>15840</v>
      </c>
      <c r="I24" s="21">
        <f t="shared" si="6"/>
        <v>184712.67444196917</v>
      </c>
      <c r="J24" s="21">
        <f t="shared" si="7"/>
        <v>204712.67444196917</v>
      </c>
      <c r="K24" s="21">
        <f t="shared" si="9"/>
        <v>22993.307496844121</v>
      </c>
      <c r="L24" s="21">
        <f t="shared" si="10"/>
        <v>10261.815246776065</v>
      </c>
      <c r="M24" s="21">
        <f t="shared" si="8"/>
        <v>-46312.674441969168</v>
      </c>
      <c r="N24" s="8" t="str">
        <f t="shared" si="11"/>
        <v>INFEASIBLE</v>
      </c>
      <c r="O24" s="26">
        <f t="shared" si="12"/>
        <v>17.5</v>
      </c>
      <c r="P24" s="21">
        <f t="shared" si="13"/>
        <v>8800</v>
      </c>
    </row>
    <row r="25" spans="2:16" x14ac:dyDescent="0.35">
      <c r="B25" s="20">
        <v>19</v>
      </c>
      <c r="C25" s="11">
        <f t="shared" si="0"/>
        <v>10458.204466678902</v>
      </c>
      <c r="D25" s="11">
        <f t="shared" si="1"/>
        <v>720</v>
      </c>
      <c r="E25" s="11">
        <f t="shared" si="2"/>
        <v>9738.2044666789025</v>
      </c>
      <c r="F25" s="18">
        <f t="shared" si="3"/>
        <v>6.7626419907492377</v>
      </c>
      <c r="G25" s="21">
        <f t="shared" si="4"/>
        <v>194066.04976873094</v>
      </c>
      <c r="H25" s="21">
        <f t="shared" si="5"/>
        <v>16720</v>
      </c>
      <c r="I25" s="21">
        <f t="shared" si="6"/>
        <v>210786.04976873094</v>
      </c>
      <c r="J25" s="21">
        <f t="shared" si="7"/>
        <v>230786.04976873094</v>
      </c>
      <c r="K25" s="21">
        <f t="shared" si="9"/>
        <v>26073.375326761772</v>
      </c>
      <c r="L25" s="21">
        <f t="shared" si="10"/>
        <v>11094.002619406892</v>
      </c>
      <c r="M25" s="21">
        <f t="shared" si="8"/>
        <v>-63586.04976873094</v>
      </c>
      <c r="N25" s="8" t="str">
        <f t="shared" si="11"/>
        <v>INFEASIBLE</v>
      </c>
      <c r="O25" s="26">
        <f t="shared" si="12"/>
        <v>18.5</v>
      </c>
      <c r="P25" s="21">
        <f t="shared" si="13"/>
        <v>8800</v>
      </c>
    </row>
    <row r="26" spans="2:16" x14ac:dyDescent="0.35">
      <c r="B26" s="20">
        <v>20</v>
      </c>
      <c r="C26" s="11">
        <f t="shared" si="0"/>
        <v>12109.499908786096</v>
      </c>
      <c r="D26" s="11">
        <f t="shared" si="1"/>
        <v>720</v>
      </c>
      <c r="E26" s="11">
        <f t="shared" si="2"/>
        <v>11389.499908786096</v>
      </c>
      <c r="F26" s="18">
        <f t="shared" si="3"/>
        <v>7.9093749366570112</v>
      </c>
      <c r="G26" s="21">
        <f t="shared" si="4"/>
        <v>222734.37341642528</v>
      </c>
      <c r="H26" s="21">
        <f t="shared" si="5"/>
        <v>17600</v>
      </c>
      <c r="I26" s="21">
        <f t="shared" si="6"/>
        <v>240334.37341642528</v>
      </c>
      <c r="J26" s="21">
        <f t="shared" si="7"/>
        <v>260334.37341642528</v>
      </c>
      <c r="K26" s="21">
        <f t="shared" si="9"/>
        <v>29548.323647694342</v>
      </c>
      <c r="L26" s="21">
        <f t="shared" si="10"/>
        <v>12016.718670821265</v>
      </c>
      <c r="M26" s="21">
        <f t="shared" si="8"/>
        <v>-84334.373416425282</v>
      </c>
      <c r="N26" s="8" t="str">
        <f>IF(F26&gt;temp_max,"INFEASIBLE","")</f>
        <v>INFEASIBLE</v>
      </c>
      <c r="O26" s="26">
        <f t="shared" si="12"/>
        <v>19.5</v>
      </c>
      <c r="P26" s="21">
        <f t="shared" si="13"/>
        <v>8800</v>
      </c>
    </row>
    <row r="29" spans="2:16" x14ac:dyDescent="0.35">
      <c r="B29" s="6" t="s">
        <v>99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2:16" x14ac:dyDescent="0.35">
      <c r="B30" s="12" t="s">
        <v>87</v>
      </c>
      <c r="C30" s="12" t="s">
        <v>57</v>
      </c>
      <c r="D30" s="12" t="s">
        <v>88</v>
      </c>
      <c r="E30" s="12" t="s">
        <v>89</v>
      </c>
      <c r="F30" s="12" t="s">
        <v>90</v>
      </c>
      <c r="G30" s="12" t="s">
        <v>58</v>
      </c>
      <c r="H30" s="12" t="s">
        <v>91</v>
      </c>
      <c r="I30" s="12" t="s">
        <v>60</v>
      </c>
      <c r="J30" s="12" t="s">
        <v>92</v>
      </c>
      <c r="K30" s="12" t="s">
        <v>93</v>
      </c>
      <c r="L30" s="12" t="s">
        <v>94</v>
      </c>
      <c r="M30" s="12" t="s">
        <v>95</v>
      </c>
      <c r="N30" s="12" t="s">
        <v>96</v>
      </c>
      <c r="O30" s="12" t="s">
        <v>97</v>
      </c>
      <c r="P30" s="12" t="s">
        <v>98</v>
      </c>
    </row>
    <row r="31" spans="2:16" x14ac:dyDescent="0.35">
      <c r="B31" s="20">
        <v>0</v>
      </c>
      <c r="C31" s="11">
        <f t="shared" ref="C31:C51" si="14">B31*laborwk_carrot*season_wks*(1+dim_carrot)^B31</f>
        <v>0</v>
      </c>
      <c r="D31" s="11">
        <f t="shared" ref="D31:D51" si="15">MIN(perm_field_hrs,C31)</f>
        <v>0</v>
      </c>
      <c r="E31" s="11">
        <f t="shared" ref="E31:E51" si="16">C31-D31</f>
        <v>0</v>
      </c>
      <c r="F31" s="18">
        <f t="shared" ref="F31:F51" si="17">E31/temp_hrs_each</f>
        <v>0</v>
      </c>
      <c r="G31" s="21">
        <f t="shared" ref="G31:G51" si="18">D31*wage_perm+E31*wage_temp</f>
        <v>0</v>
      </c>
      <c r="H31" s="21">
        <f t="shared" ref="H31:H51" si="19">B31*fert_carrot</f>
        <v>0</v>
      </c>
      <c r="I31" s="21">
        <f t="shared" ref="I31:I51" si="20">G31+H31</f>
        <v>0</v>
      </c>
      <c r="J31" s="21">
        <f t="shared" ref="J31:J51" si="21">I31+costs_fixed</f>
        <v>20000</v>
      </c>
      <c r="M31" s="21">
        <f t="shared" ref="M31:M51" si="22">B31*price_carrot-J31</f>
        <v>-20000</v>
      </c>
    </row>
    <row r="32" spans="2:16" x14ac:dyDescent="0.35">
      <c r="B32" s="20">
        <v>1</v>
      </c>
      <c r="C32" s="11">
        <f t="shared" si="14"/>
        <v>30.749999999999996</v>
      </c>
      <c r="D32" s="11">
        <f t="shared" si="15"/>
        <v>30.749999999999996</v>
      </c>
      <c r="E32" s="11">
        <f t="shared" si="16"/>
        <v>0</v>
      </c>
      <c r="F32" s="18">
        <f t="shared" si="17"/>
        <v>0</v>
      </c>
      <c r="G32" s="21">
        <f t="shared" si="18"/>
        <v>1067.7083333333333</v>
      </c>
      <c r="H32" s="21">
        <f t="shared" si="19"/>
        <v>440</v>
      </c>
      <c r="I32" s="21">
        <f t="shared" si="20"/>
        <v>1507.7083333333333</v>
      </c>
      <c r="J32" s="21">
        <f t="shared" si="21"/>
        <v>21507.708333333332</v>
      </c>
      <c r="K32" s="21">
        <f t="shared" ref="K32:K51" si="23">J32-J31</f>
        <v>1507.7083333333321</v>
      </c>
      <c r="L32" s="21">
        <f t="shared" ref="L32:L51" si="24">I32/B32</f>
        <v>1507.7083333333333</v>
      </c>
      <c r="M32" s="21">
        <f t="shared" si="22"/>
        <v>-19413.708333333332</v>
      </c>
      <c r="N32" s="8" t="str">
        <f t="shared" ref="N32:N50" si="25">IF(F32&gt;temp_max,"INFEASIBLE",IF(AND(price_carrot&gt;K32,price_carrot&lt;K33),"&lt;-- P ~ MC",""))</f>
        <v/>
      </c>
      <c r="O32" s="26">
        <f t="shared" ref="O32:O51" si="26">(B32+B31)/2</f>
        <v>0.5</v>
      </c>
      <c r="P32" s="21">
        <f t="shared" ref="P32:P51" si="27">price_carrot</f>
        <v>2094</v>
      </c>
    </row>
    <row r="33" spans="2:16" x14ac:dyDescent="0.35">
      <c r="B33" s="20">
        <v>2</v>
      </c>
      <c r="C33" s="11">
        <f t="shared" si="14"/>
        <v>63.037499999999994</v>
      </c>
      <c r="D33" s="11">
        <f t="shared" si="15"/>
        <v>63.037499999999994</v>
      </c>
      <c r="E33" s="11">
        <f t="shared" si="16"/>
        <v>0</v>
      </c>
      <c r="F33" s="18">
        <f t="shared" si="17"/>
        <v>0</v>
      </c>
      <c r="G33" s="21">
        <f t="shared" si="18"/>
        <v>2188.802083333333</v>
      </c>
      <c r="H33" s="21">
        <f t="shared" si="19"/>
        <v>880</v>
      </c>
      <c r="I33" s="21">
        <f t="shared" si="20"/>
        <v>3068.802083333333</v>
      </c>
      <c r="J33" s="21">
        <f t="shared" si="21"/>
        <v>23068.802083333332</v>
      </c>
      <c r="K33" s="21">
        <f t="shared" si="23"/>
        <v>1561.09375</v>
      </c>
      <c r="L33" s="21">
        <f t="shared" si="24"/>
        <v>1534.4010416666665</v>
      </c>
      <c r="M33" s="21">
        <f t="shared" si="22"/>
        <v>-18880.802083333332</v>
      </c>
      <c r="N33" s="8" t="str">
        <f t="shared" si="25"/>
        <v/>
      </c>
      <c r="O33" s="26">
        <f t="shared" si="26"/>
        <v>1.5</v>
      </c>
      <c r="P33" s="21">
        <f t="shared" si="27"/>
        <v>2094</v>
      </c>
    </row>
    <row r="34" spans="2:16" x14ac:dyDescent="0.35">
      <c r="B34" s="20">
        <v>3</v>
      </c>
      <c r="C34" s="11">
        <f t="shared" si="14"/>
        <v>96.920156249999991</v>
      </c>
      <c r="D34" s="11">
        <f t="shared" si="15"/>
        <v>96.920156249999991</v>
      </c>
      <c r="E34" s="11">
        <f t="shared" si="16"/>
        <v>0</v>
      </c>
      <c r="F34" s="18">
        <f t="shared" si="17"/>
        <v>0</v>
      </c>
      <c r="G34" s="21">
        <f t="shared" si="18"/>
        <v>3365.2832031249995</v>
      </c>
      <c r="H34" s="21">
        <f t="shared" si="19"/>
        <v>1320</v>
      </c>
      <c r="I34" s="21">
        <f t="shared" si="20"/>
        <v>4685.283203125</v>
      </c>
      <c r="J34" s="21">
        <f t="shared" si="21"/>
        <v>24685.283203125</v>
      </c>
      <c r="K34" s="21">
        <f t="shared" si="23"/>
        <v>1616.4811197916679</v>
      </c>
      <c r="L34" s="21">
        <f t="shared" si="24"/>
        <v>1561.7610677083333</v>
      </c>
      <c r="M34" s="21">
        <f t="shared" si="22"/>
        <v>-18403.283203125</v>
      </c>
      <c r="N34" s="8" t="str">
        <f t="shared" si="25"/>
        <v/>
      </c>
      <c r="O34" s="26">
        <f t="shared" si="26"/>
        <v>2.5</v>
      </c>
      <c r="P34" s="21">
        <f t="shared" si="27"/>
        <v>2094</v>
      </c>
    </row>
    <row r="35" spans="2:16" x14ac:dyDescent="0.35">
      <c r="B35" s="20">
        <v>4</v>
      </c>
      <c r="C35" s="11">
        <f t="shared" si="14"/>
        <v>132.45754687499996</v>
      </c>
      <c r="D35" s="11">
        <f t="shared" si="15"/>
        <v>132.45754687499996</v>
      </c>
      <c r="E35" s="11">
        <f t="shared" si="16"/>
        <v>0</v>
      </c>
      <c r="F35" s="18">
        <f t="shared" si="17"/>
        <v>0</v>
      </c>
      <c r="G35" s="21">
        <f t="shared" si="18"/>
        <v>4599.2203776041652</v>
      </c>
      <c r="H35" s="21">
        <f t="shared" si="19"/>
        <v>1760</v>
      </c>
      <c r="I35" s="21">
        <f t="shared" si="20"/>
        <v>6359.2203776041652</v>
      </c>
      <c r="J35" s="21">
        <f t="shared" si="21"/>
        <v>26359.220377604164</v>
      </c>
      <c r="K35" s="21">
        <f t="shared" si="23"/>
        <v>1673.9371744791642</v>
      </c>
      <c r="L35" s="21">
        <f t="shared" si="24"/>
        <v>1589.8050944010413</v>
      </c>
      <c r="M35" s="21">
        <f t="shared" si="22"/>
        <v>-17983.220377604164</v>
      </c>
      <c r="N35" s="8" t="str">
        <f t="shared" si="25"/>
        <v/>
      </c>
      <c r="O35" s="26">
        <f t="shared" si="26"/>
        <v>3.5</v>
      </c>
      <c r="P35" s="21">
        <f t="shared" si="27"/>
        <v>2094</v>
      </c>
    </row>
    <row r="36" spans="2:16" x14ac:dyDescent="0.35">
      <c r="B36" s="20">
        <v>5</v>
      </c>
      <c r="C36" s="11">
        <f t="shared" si="14"/>
        <v>169.71123193359369</v>
      </c>
      <c r="D36" s="11">
        <f t="shared" si="15"/>
        <v>169.71123193359369</v>
      </c>
      <c r="E36" s="11">
        <f t="shared" si="16"/>
        <v>0</v>
      </c>
      <c r="F36" s="18">
        <f t="shared" si="17"/>
        <v>0</v>
      </c>
      <c r="G36" s="21">
        <f t="shared" si="18"/>
        <v>5892.7511088053361</v>
      </c>
      <c r="H36" s="21">
        <f t="shared" si="19"/>
        <v>2200</v>
      </c>
      <c r="I36" s="21">
        <f t="shared" si="20"/>
        <v>8092.7511088053361</v>
      </c>
      <c r="J36" s="21">
        <f t="shared" si="21"/>
        <v>28092.751108805336</v>
      </c>
      <c r="K36" s="21">
        <f t="shared" si="23"/>
        <v>1733.5307312011719</v>
      </c>
      <c r="L36" s="21">
        <f t="shared" si="24"/>
        <v>1618.5502217610672</v>
      </c>
      <c r="M36" s="21">
        <f t="shared" si="22"/>
        <v>-17622.751108805336</v>
      </c>
      <c r="N36" s="8" t="str">
        <f t="shared" si="25"/>
        <v/>
      </c>
      <c r="O36" s="26">
        <f t="shared" si="26"/>
        <v>4.5</v>
      </c>
      <c r="P36" s="21">
        <f t="shared" si="27"/>
        <v>2094</v>
      </c>
    </row>
    <row r="37" spans="2:16" x14ac:dyDescent="0.35">
      <c r="B37" s="20">
        <v>6</v>
      </c>
      <c r="C37" s="11">
        <f t="shared" si="14"/>
        <v>208.74481527832023</v>
      </c>
      <c r="D37" s="11">
        <f t="shared" si="15"/>
        <v>208.74481527832023</v>
      </c>
      <c r="E37" s="11">
        <f t="shared" si="16"/>
        <v>0</v>
      </c>
      <c r="F37" s="18">
        <f t="shared" si="17"/>
        <v>0</v>
      </c>
      <c r="G37" s="21">
        <f t="shared" si="18"/>
        <v>7248.0838638305631</v>
      </c>
      <c r="H37" s="21">
        <f t="shared" si="19"/>
        <v>2640</v>
      </c>
      <c r="I37" s="21">
        <f t="shared" si="20"/>
        <v>9888.0838638305631</v>
      </c>
      <c r="J37" s="21">
        <f t="shared" si="21"/>
        <v>29888.083863830565</v>
      </c>
      <c r="K37" s="21">
        <f t="shared" si="23"/>
        <v>1795.3327550252288</v>
      </c>
      <c r="L37" s="21">
        <f t="shared" si="24"/>
        <v>1648.0139773050939</v>
      </c>
      <c r="M37" s="21">
        <f t="shared" si="22"/>
        <v>-17324.083863830565</v>
      </c>
      <c r="N37" s="8" t="str">
        <f t="shared" si="25"/>
        <v/>
      </c>
      <c r="O37" s="26">
        <f t="shared" si="26"/>
        <v>5.5</v>
      </c>
      <c r="P37" s="21">
        <f t="shared" si="27"/>
        <v>2094</v>
      </c>
    </row>
    <row r="38" spans="2:16" x14ac:dyDescent="0.35">
      <c r="B38" s="20">
        <v>7</v>
      </c>
      <c r="C38" s="11">
        <f t="shared" si="14"/>
        <v>249.62400827032465</v>
      </c>
      <c r="D38" s="11">
        <f t="shared" si="15"/>
        <v>249.62400827032465</v>
      </c>
      <c r="E38" s="11">
        <f t="shared" si="16"/>
        <v>0</v>
      </c>
      <c r="F38" s="18">
        <f t="shared" si="17"/>
        <v>0</v>
      </c>
      <c r="G38" s="21">
        <f t="shared" si="18"/>
        <v>8667.50028716405</v>
      </c>
      <c r="H38" s="21">
        <f t="shared" si="19"/>
        <v>3080</v>
      </c>
      <c r="I38" s="21">
        <f t="shared" si="20"/>
        <v>11747.50028716405</v>
      </c>
      <c r="J38" s="21">
        <f t="shared" si="21"/>
        <v>31747.50028716405</v>
      </c>
      <c r="K38" s="21">
        <f t="shared" si="23"/>
        <v>1859.416423333485</v>
      </c>
      <c r="L38" s="21">
        <f t="shared" si="24"/>
        <v>1678.2143267377214</v>
      </c>
      <c r="M38" s="21">
        <f t="shared" si="22"/>
        <v>-17089.50028716405</v>
      </c>
      <c r="N38" s="8" t="str">
        <f t="shared" si="25"/>
        <v/>
      </c>
      <c r="O38" s="26">
        <f t="shared" si="26"/>
        <v>6.5</v>
      </c>
      <c r="P38" s="21">
        <f t="shared" si="27"/>
        <v>2094</v>
      </c>
    </row>
    <row r="39" spans="2:16" x14ac:dyDescent="0.35">
      <c r="B39" s="20">
        <v>8</v>
      </c>
      <c r="C39" s="11">
        <f t="shared" si="14"/>
        <v>292.41669540238024</v>
      </c>
      <c r="D39" s="11">
        <f t="shared" si="15"/>
        <v>292.41669540238024</v>
      </c>
      <c r="E39" s="11">
        <f t="shared" si="16"/>
        <v>0</v>
      </c>
      <c r="F39" s="18">
        <f t="shared" si="17"/>
        <v>0</v>
      </c>
      <c r="G39" s="21">
        <f t="shared" si="18"/>
        <v>10153.357479249315</v>
      </c>
      <c r="H39" s="21">
        <f t="shared" si="19"/>
        <v>3520</v>
      </c>
      <c r="I39" s="21">
        <f t="shared" si="20"/>
        <v>13673.357479249315</v>
      </c>
      <c r="J39" s="21">
        <f t="shared" si="21"/>
        <v>33673.357479249316</v>
      </c>
      <c r="K39" s="21">
        <f t="shared" si="23"/>
        <v>1925.8571920852664</v>
      </c>
      <c r="L39" s="21">
        <f t="shared" si="24"/>
        <v>1709.1696849061643</v>
      </c>
      <c r="M39" s="21">
        <f t="shared" si="22"/>
        <v>-16921.357479249316</v>
      </c>
      <c r="N39" s="8" t="str">
        <f t="shared" si="25"/>
        <v/>
      </c>
      <c r="O39" s="26">
        <f t="shared" si="26"/>
        <v>7.5</v>
      </c>
      <c r="P39" s="21">
        <f t="shared" si="27"/>
        <v>2094</v>
      </c>
    </row>
    <row r="40" spans="2:16" x14ac:dyDescent="0.35">
      <c r="B40" s="20">
        <v>9</v>
      </c>
      <c r="C40" s="11">
        <f t="shared" si="14"/>
        <v>337.19300188586965</v>
      </c>
      <c r="D40" s="11">
        <f t="shared" si="15"/>
        <v>337.19300188586965</v>
      </c>
      <c r="E40" s="11">
        <f t="shared" si="16"/>
        <v>0</v>
      </c>
      <c r="F40" s="18">
        <f t="shared" si="17"/>
        <v>0</v>
      </c>
      <c r="G40" s="21">
        <f t="shared" si="18"/>
        <v>11708.090343259362</v>
      </c>
      <c r="H40" s="21">
        <f t="shared" si="19"/>
        <v>3960</v>
      </c>
      <c r="I40" s="21">
        <f t="shared" si="20"/>
        <v>15668.090343259362</v>
      </c>
      <c r="J40" s="21">
        <f t="shared" si="21"/>
        <v>35668.090343259362</v>
      </c>
      <c r="K40" s="21">
        <f t="shared" si="23"/>
        <v>1994.7328640100459</v>
      </c>
      <c r="L40" s="21">
        <f t="shared" si="24"/>
        <v>1740.898927028818</v>
      </c>
      <c r="M40" s="21">
        <f t="shared" si="22"/>
        <v>-16822.090343259362</v>
      </c>
      <c r="N40" s="8" t="str">
        <f t="shared" si="25"/>
        <v/>
      </c>
      <c r="O40" s="26">
        <f t="shared" si="26"/>
        <v>8.5</v>
      </c>
      <c r="P40" s="21">
        <f t="shared" si="27"/>
        <v>2094</v>
      </c>
    </row>
    <row r="41" spans="2:16" x14ac:dyDescent="0.35">
      <c r="B41" s="20">
        <v>10</v>
      </c>
      <c r="C41" s="11">
        <f t="shared" si="14"/>
        <v>384.02536325890713</v>
      </c>
      <c r="D41" s="11">
        <f t="shared" si="15"/>
        <v>384.02536325890713</v>
      </c>
      <c r="E41" s="11">
        <f t="shared" si="16"/>
        <v>0</v>
      </c>
      <c r="F41" s="18">
        <f t="shared" si="17"/>
        <v>0</v>
      </c>
      <c r="G41" s="21">
        <f t="shared" si="18"/>
        <v>13334.214002045386</v>
      </c>
      <c r="H41" s="21">
        <f t="shared" si="19"/>
        <v>4400</v>
      </c>
      <c r="I41" s="21">
        <f t="shared" si="20"/>
        <v>17734.214002045388</v>
      </c>
      <c r="J41" s="21">
        <f t="shared" si="21"/>
        <v>37734.214002045388</v>
      </c>
      <c r="K41" s="21">
        <f t="shared" si="23"/>
        <v>2066.1236587860258</v>
      </c>
      <c r="L41" s="21">
        <f t="shared" si="24"/>
        <v>1773.4214002045387</v>
      </c>
      <c r="M41" s="21">
        <f t="shared" si="22"/>
        <v>-16794.214002045388</v>
      </c>
      <c r="N41" s="8" t="str">
        <f t="shared" si="25"/>
        <v>&lt;-- P ~ MC</v>
      </c>
      <c r="O41" s="26">
        <f t="shared" si="26"/>
        <v>9.5</v>
      </c>
      <c r="P41" s="21">
        <f t="shared" si="27"/>
        <v>2094</v>
      </c>
    </row>
    <row r="42" spans="2:16" x14ac:dyDescent="0.35">
      <c r="B42" s="20">
        <v>11</v>
      </c>
      <c r="C42" s="11">
        <f t="shared" si="14"/>
        <v>432.98859707441784</v>
      </c>
      <c r="D42" s="11">
        <f t="shared" si="15"/>
        <v>432.98859707441784</v>
      </c>
      <c r="E42" s="11">
        <f t="shared" si="16"/>
        <v>0</v>
      </c>
      <c r="F42" s="18">
        <f t="shared" si="17"/>
        <v>0</v>
      </c>
      <c r="G42" s="21">
        <f t="shared" si="18"/>
        <v>15034.326287306174</v>
      </c>
      <c r="H42" s="21">
        <f t="shared" si="19"/>
        <v>4840</v>
      </c>
      <c r="I42" s="21">
        <f t="shared" si="20"/>
        <v>19874.326287306176</v>
      </c>
      <c r="J42" s="21">
        <f t="shared" si="21"/>
        <v>39874.326287306176</v>
      </c>
      <c r="K42" s="21">
        <f t="shared" si="23"/>
        <v>2140.1122852607878</v>
      </c>
      <c r="L42" s="21">
        <f t="shared" si="24"/>
        <v>1806.7569352096523</v>
      </c>
      <c r="M42" s="21">
        <f t="shared" si="22"/>
        <v>-16840.326287306176</v>
      </c>
      <c r="N42" s="8" t="str">
        <f t="shared" si="25"/>
        <v/>
      </c>
      <c r="O42" s="26">
        <f t="shared" si="26"/>
        <v>10.5</v>
      </c>
      <c r="P42" s="21">
        <f t="shared" si="27"/>
        <v>2094</v>
      </c>
    </row>
    <row r="43" spans="2:16" x14ac:dyDescent="0.35">
      <c r="B43" s="20">
        <v>12</v>
      </c>
      <c r="C43" s="11">
        <f t="shared" si="14"/>
        <v>484.15997672866712</v>
      </c>
      <c r="D43" s="11">
        <f t="shared" si="15"/>
        <v>484.15997672866712</v>
      </c>
      <c r="E43" s="11">
        <f t="shared" si="16"/>
        <v>0</v>
      </c>
      <c r="F43" s="18">
        <f t="shared" si="17"/>
        <v>0</v>
      </c>
      <c r="G43" s="21">
        <f t="shared" si="18"/>
        <v>16811.11030307872</v>
      </c>
      <c r="H43" s="21">
        <f t="shared" si="19"/>
        <v>5280</v>
      </c>
      <c r="I43" s="21">
        <f t="shared" si="20"/>
        <v>22091.11030307872</v>
      </c>
      <c r="J43" s="21">
        <f t="shared" si="21"/>
        <v>42091.11030307872</v>
      </c>
      <c r="K43" s="21">
        <f t="shared" si="23"/>
        <v>2216.7840157725441</v>
      </c>
      <c r="L43" s="21">
        <f t="shared" si="24"/>
        <v>1840.9258585898933</v>
      </c>
      <c r="M43" s="21">
        <f t="shared" si="22"/>
        <v>-16963.11030307872</v>
      </c>
      <c r="N43" s="8" t="str">
        <f t="shared" si="25"/>
        <v/>
      </c>
      <c r="O43" s="26">
        <f t="shared" si="26"/>
        <v>11.5</v>
      </c>
      <c r="P43" s="21">
        <f t="shared" si="27"/>
        <v>2094</v>
      </c>
    </row>
    <row r="44" spans="2:16" x14ac:dyDescent="0.35">
      <c r="B44" s="20">
        <v>13</v>
      </c>
      <c r="C44" s="11">
        <f t="shared" si="14"/>
        <v>537.61930749245744</v>
      </c>
      <c r="D44" s="11">
        <f t="shared" si="15"/>
        <v>537.61930749245744</v>
      </c>
      <c r="E44" s="11">
        <f t="shared" si="16"/>
        <v>0</v>
      </c>
      <c r="F44" s="18">
        <f t="shared" si="17"/>
        <v>0</v>
      </c>
      <c r="G44" s="21">
        <f t="shared" si="18"/>
        <v>18667.337065710326</v>
      </c>
      <c r="H44" s="21">
        <f t="shared" si="19"/>
        <v>5720</v>
      </c>
      <c r="I44" s="21">
        <f t="shared" si="20"/>
        <v>24387.337065710326</v>
      </c>
      <c r="J44" s="21">
        <f t="shared" si="21"/>
        <v>44387.337065710322</v>
      </c>
      <c r="K44" s="21">
        <f t="shared" si="23"/>
        <v>2296.2267626316025</v>
      </c>
      <c r="L44" s="21">
        <f t="shared" si="24"/>
        <v>1875.9490050546406</v>
      </c>
      <c r="M44" s="21">
        <f t="shared" si="22"/>
        <v>-17165.337065710322</v>
      </c>
      <c r="N44" s="8" t="str">
        <f t="shared" si="25"/>
        <v/>
      </c>
      <c r="O44" s="26">
        <f t="shared" si="26"/>
        <v>12.5</v>
      </c>
      <c r="P44" s="21">
        <f t="shared" si="27"/>
        <v>2094</v>
      </c>
    </row>
    <row r="45" spans="2:16" x14ac:dyDescent="0.35">
      <c r="B45" s="20">
        <v>14</v>
      </c>
      <c r="C45" s="11">
        <f t="shared" si="14"/>
        <v>593.44900480898184</v>
      </c>
      <c r="D45" s="11">
        <f t="shared" si="15"/>
        <v>593.44900480898184</v>
      </c>
      <c r="E45" s="11">
        <f t="shared" si="16"/>
        <v>0</v>
      </c>
      <c r="F45" s="18">
        <f t="shared" si="17"/>
        <v>0</v>
      </c>
      <c r="G45" s="21">
        <f t="shared" si="18"/>
        <v>20605.868222534093</v>
      </c>
      <c r="H45" s="21">
        <f t="shared" si="19"/>
        <v>6160</v>
      </c>
      <c r="I45" s="21">
        <f t="shared" si="20"/>
        <v>26765.868222534093</v>
      </c>
      <c r="J45" s="21">
        <f t="shared" si="21"/>
        <v>46765.868222534089</v>
      </c>
      <c r="K45" s="21">
        <f t="shared" si="23"/>
        <v>2378.5311568237667</v>
      </c>
      <c r="L45" s="21">
        <f t="shared" si="24"/>
        <v>1911.8477301810067</v>
      </c>
      <c r="M45" s="21">
        <f t="shared" si="22"/>
        <v>-17449.868222534089</v>
      </c>
      <c r="N45" s="8" t="str">
        <f t="shared" si="25"/>
        <v/>
      </c>
      <c r="O45" s="26">
        <f t="shared" si="26"/>
        <v>13.5</v>
      </c>
      <c r="P45" s="21">
        <f t="shared" si="27"/>
        <v>2094</v>
      </c>
    </row>
    <row r="46" spans="2:16" x14ac:dyDescent="0.35">
      <c r="B46" s="20">
        <v>15</v>
      </c>
      <c r="C46" s="11">
        <f t="shared" si="14"/>
        <v>651.73417492414967</v>
      </c>
      <c r="D46" s="11">
        <f t="shared" si="15"/>
        <v>651.73417492414967</v>
      </c>
      <c r="E46" s="11">
        <f t="shared" si="16"/>
        <v>0</v>
      </c>
      <c r="F46" s="18">
        <f t="shared" si="17"/>
        <v>0</v>
      </c>
      <c r="G46" s="21">
        <f t="shared" si="18"/>
        <v>22629.658851532975</v>
      </c>
      <c r="H46" s="21">
        <f t="shared" si="19"/>
        <v>6600</v>
      </c>
      <c r="I46" s="21">
        <f t="shared" si="20"/>
        <v>29229.658851532975</v>
      </c>
      <c r="J46" s="21">
        <f t="shared" si="21"/>
        <v>49229.658851532979</v>
      </c>
      <c r="K46" s="21">
        <f t="shared" si="23"/>
        <v>2463.7906289988896</v>
      </c>
      <c r="L46" s="21">
        <f t="shared" si="24"/>
        <v>1948.6439234355316</v>
      </c>
      <c r="M46" s="21">
        <f t="shared" si="22"/>
        <v>-17819.658851532979</v>
      </c>
      <c r="N46" s="8" t="str">
        <f t="shared" si="25"/>
        <v/>
      </c>
      <c r="O46" s="26">
        <f t="shared" si="26"/>
        <v>14.5</v>
      </c>
      <c r="P46" s="21">
        <f t="shared" si="27"/>
        <v>2094</v>
      </c>
    </row>
    <row r="47" spans="2:16" x14ac:dyDescent="0.35">
      <c r="B47" s="20">
        <v>16</v>
      </c>
      <c r="C47" s="11">
        <f t="shared" si="14"/>
        <v>712.5626979170703</v>
      </c>
      <c r="D47" s="11">
        <f t="shared" si="15"/>
        <v>712.5626979170703</v>
      </c>
      <c r="E47" s="11">
        <f t="shared" si="16"/>
        <v>0</v>
      </c>
      <c r="F47" s="18">
        <f t="shared" si="17"/>
        <v>0</v>
      </c>
      <c r="G47" s="21">
        <f t="shared" si="18"/>
        <v>24741.760344342718</v>
      </c>
      <c r="H47" s="21">
        <f t="shared" si="19"/>
        <v>7040</v>
      </c>
      <c r="I47" s="21">
        <f t="shared" si="20"/>
        <v>31781.760344342718</v>
      </c>
      <c r="J47" s="21">
        <f t="shared" si="21"/>
        <v>51781.760344342722</v>
      </c>
      <c r="K47" s="21">
        <f t="shared" si="23"/>
        <v>2552.1014928097429</v>
      </c>
      <c r="L47" s="21">
        <f t="shared" si="24"/>
        <v>1986.3600215214199</v>
      </c>
      <c r="M47" s="21">
        <f t="shared" si="22"/>
        <v>-18277.760344342722</v>
      </c>
      <c r="N47" s="8" t="str">
        <f t="shared" si="25"/>
        <v/>
      </c>
      <c r="O47" s="26">
        <f t="shared" si="26"/>
        <v>15.5</v>
      </c>
      <c r="P47" s="21">
        <f t="shared" si="27"/>
        <v>2094</v>
      </c>
    </row>
    <row r="48" spans="2:16" x14ac:dyDescent="0.35">
      <c r="B48" s="20">
        <v>17</v>
      </c>
      <c r="C48" s="11">
        <f t="shared" si="14"/>
        <v>776.02531320030937</v>
      </c>
      <c r="D48" s="11">
        <f t="shared" si="15"/>
        <v>720</v>
      </c>
      <c r="E48" s="11">
        <f t="shared" si="16"/>
        <v>56.02531320030937</v>
      </c>
      <c r="F48" s="18">
        <f t="shared" si="17"/>
        <v>3.8906467500214842E-2</v>
      </c>
      <c r="G48" s="21">
        <f t="shared" si="18"/>
        <v>25972.66168750537</v>
      </c>
      <c r="H48" s="21">
        <f t="shared" si="19"/>
        <v>7480</v>
      </c>
      <c r="I48" s="21">
        <f t="shared" si="20"/>
        <v>33452.661687505373</v>
      </c>
      <c r="J48" s="21">
        <f t="shared" si="21"/>
        <v>53452.661687505373</v>
      </c>
      <c r="K48" s="21">
        <f t="shared" si="23"/>
        <v>1670.9013431626518</v>
      </c>
      <c r="L48" s="21">
        <f t="shared" si="24"/>
        <v>1967.8036286767867</v>
      </c>
      <c r="M48" s="21">
        <f t="shared" si="22"/>
        <v>-17854.661687505373</v>
      </c>
      <c r="N48" s="8" t="str">
        <f t="shared" si="25"/>
        <v/>
      </c>
      <c r="O48" s="26">
        <f t="shared" si="26"/>
        <v>16.5</v>
      </c>
      <c r="P48" s="21">
        <f t="shared" si="27"/>
        <v>2094</v>
      </c>
    </row>
    <row r="49" spans="2:16" x14ac:dyDescent="0.35">
      <c r="B49" s="20">
        <v>18</v>
      </c>
      <c r="C49" s="11">
        <f t="shared" si="14"/>
        <v>842.2157075615122</v>
      </c>
      <c r="D49" s="11">
        <f t="shared" si="15"/>
        <v>720</v>
      </c>
      <c r="E49" s="11">
        <f t="shared" si="16"/>
        <v>122.2157075615122</v>
      </c>
      <c r="F49" s="18">
        <f t="shared" si="17"/>
        <v>8.4872019139939026E-2</v>
      </c>
      <c r="G49" s="21">
        <f t="shared" si="18"/>
        <v>27121.800478498477</v>
      </c>
      <c r="H49" s="21">
        <f t="shared" si="19"/>
        <v>7920</v>
      </c>
      <c r="I49" s="21">
        <f t="shared" si="20"/>
        <v>35041.800478498481</v>
      </c>
      <c r="J49" s="21">
        <f t="shared" si="21"/>
        <v>55041.800478498481</v>
      </c>
      <c r="K49" s="21">
        <f t="shared" si="23"/>
        <v>1589.1387909931072</v>
      </c>
      <c r="L49" s="21">
        <f t="shared" si="24"/>
        <v>1946.7666932499155</v>
      </c>
      <c r="M49" s="21">
        <f t="shared" si="22"/>
        <v>-17349.800478498481</v>
      </c>
      <c r="N49" s="8" t="str">
        <f t="shared" si="25"/>
        <v/>
      </c>
      <c r="O49" s="26">
        <f t="shared" si="26"/>
        <v>17.5</v>
      </c>
      <c r="P49" s="21">
        <f t="shared" si="27"/>
        <v>2094</v>
      </c>
    </row>
    <row r="50" spans="2:16" x14ac:dyDescent="0.35">
      <c r="B50" s="20">
        <v>19</v>
      </c>
      <c r="C50" s="11">
        <f t="shared" si="14"/>
        <v>911.23060582002495</v>
      </c>
      <c r="D50" s="11">
        <f t="shared" si="15"/>
        <v>720</v>
      </c>
      <c r="E50" s="11">
        <f t="shared" si="16"/>
        <v>191.23060582002495</v>
      </c>
      <c r="F50" s="18">
        <f t="shared" si="17"/>
        <v>0.13279903181946176</v>
      </c>
      <c r="G50" s="21">
        <f t="shared" si="18"/>
        <v>28319.975795486545</v>
      </c>
      <c r="H50" s="21">
        <f t="shared" si="19"/>
        <v>8360</v>
      </c>
      <c r="I50" s="21">
        <f t="shared" si="20"/>
        <v>36679.975795486549</v>
      </c>
      <c r="J50" s="21">
        <f t="shared" si="21"/>
        <v>56679.975795486549</v>
      </c>
      <c r="K50" s="21">
        <f t="shared" si="23"/>
        <v>1638.1753169880685</v>
      </c>
      <c r="L50" s="21">
        <f t="shared" si="24"/>
        <v>1930.5250418677131</v>
      </c>
      <c r="M50" s="21">
        <f t="shared" si="22"/>
        <v>-16893.975795486549</v>
      </c>
      <c r="N50" s="8" t="str">
        <f t="shared" si="25"/>
        <v/>
      </c>
      <c r="O50" s="26">
        <f t="shared" si="26"/>
        <v>18.5</v>
      </c>
      <c r="P50" s="21">
        <f t="shared" si="27"/>
        <v>2094</v>
      </c>
    </row>
    <row r="51" spans="2:16" x14ac:dyDescent="0.35">
      <c r="B51" s="20">
        <v>20</v>
      </c>
      <c r="C51" s="11">
        <f t="shared" si="14"/>
        <v>983.16986417423732</v>
      </c>
      <c r="D51" s="11">
        <f t="shared" si="15"/>
        <v>720</v>
      </c>
      <c r="E51" s="11">
        <f t="shared" si="16"/>
        <v>263.16986417423732</v>
      </c>
      <c r="F51" s="18">
        <f t="shared" si="17"/>
        <v>0.18275685012099813</v>
      </c>
      <c r="G51" s="21">
        <f t="shared" si="18"/>
        <v>29568.921253024953</v>
      </c>
      <c r="H51" s="21">
        <f t="shared" si="19"/>
        <v>8800</v>
      </c>
      <c r="I51" s="21">
        <f t="shared" si="20"/>
        <v>38368.92125302495</v>
      </c>
      <c r="J51" s="21">
        <f t="shared" si="21"/>
        <v>58368.92125302495</v>
      </c>
      <c r="K51" s="21">
        <f t="shared" si="23"/>
        <v>1688.9454575384007</v>
      </c>
      <c r="L51" s="21">
        <f t="shared" si="24"/>
        <v>1918.4460626512475</v>
      </c>
      <c r="M51" s="21">
        <f t="shared" si="22"/>
        <v>-16488.92125302495</v>
      </c>
      <c r="N51" s="8" t="str">
        <f>IF(F51&gt;temp_max,"INFEASIBLE","")</f>
        <v/>
      </c>
      <c r="O51" s="26">
        <f t="shared" si="26"/>
        <v>19.5</v>
      </c>
      <c r="P51" s="21">
        <f t="shared" si="27"/>
        <v>2094</v>
      </c>
    </row>
    <row r="54" spans="2:16" x14ac:dyDescent="0.35">
      <c r="B54" s="6" t="s">
        <v>100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2:16" x14ac:dyDescent="0.35">
      <c r="B55" s="12" t="s">
        <v>87</v>
      </c>
      <c r="C55" s="12" t="s">
        <v>57</v>
      </c>
      <c r="D55" s="12" t="s">
        <v>88</v>
      </c>
      <c r="E55" s="12" t="s">
        <v>89</v>
      </c>
      <c r="F55" s="12" t="s">
        <v>90</v>
      </c>
      <c r="G55" s="12" t="s">
        <v>58</v>
      </c>
      <c r="H55" s="12" t="s">
        <v>91</v>
      </c>
      <c r="I55" s="12" t="s">
        <v>60</v>
      </c>
      <c r="J55" s="12" t="s">
        <v>92</v>
      </c>
      <c r="K55" s="12" t="s">
        <v>93</v>
      </c>
      <c r="L55" s="12" t="s">
        <v>94</v>
      </c>
      <c r="M55" s="12" t="s">
        <v>95</v>
      </c>
      <c r="N55" s="12" t="s">
        <v>96</v>
      </c>
      <c r="O55" s="12" t="s">
        <v>97</v>
      </c>
      <c r="P55" s="12" t="s">
        <v>98</v>
      </c>
    </row>
    <row r="56" spans="2:16" x14ac:dyDescent="0.35">
      <c r="B56" s="20">
        <v>0</v>
      </c>
      <c r="C56" s="11">
        <f t="shared" ref="C56:C86" si="28">B56*laborwk_mesclun*season_wks*(1+dim_mesclun)^B56</f>
        <v>0</v>
      </c>
      <c r="D56" s="11">
        <f t="shared" ref="D56:D86" si="29">MIN(perm_field_hrs,C56)</f>
        <v>0</v>
      </c>
      <c r="E56" s="11">
        <f t="shared" ref="E56:E86" si="30">C56-D56</f>
        <v>0</v>
      </c>
      <c r="F56" s="18">
        <f t="shared" ref="F56:F86" si="31">E56/temp_hrs_each</f>
        <v>0</v>
      </c>
      <c r="G56" s="21">
        <f t="shared" ref="G56:G86" si="32">D56*wage_perm+E56*wage_temp</f>
        <v>0</v>
      </c>
      <c r="H56" s="21">
        <f t="shared" ref="H56:H86" si="33">B56*fert_mesclun</f>
        <v>0</v>
      </c>
      <c r="I56" s="21">
        <f t="shared" ref="I56:I86" si="34">G56+H56</f>
        <v>0</v>
      </c>
      <c r="J56" s="21">
        <f t="shared" ref="J56:J86" si="35">I56+costs_fixed</f>
        <v>20000</v>
      </c>
      <c r="M56" s="21">
        <f t="shared" ref="M56:M86" si="36">B56*price_mesclun-J56</f>
        <v>-20000</v>
      </c>
    </row>
    <row r="57" spans="2:16" x14ac:dyDescent="0.35">
      <c r="B57" s="20">
        <v>1</v>
      </c>
      <c r="C57" s="11">
        <f t="shared" si="28"/>
        <v>45.5625</v>
      </c>
      <c r="D57" s="11">
        <f t="shared" si="29"/>
        <v>45.5625</v>
      </c>
      <c r="E57" s="11">
        <f t="shared" si="30"/>
        <v>0</v>
      </c>
      <c r="F57" s="18">
        <f t="shared" si="31"/>
        <v>0</v>
      </c>
      <c r="G57" s="21">
        <f t="shared" si="32"/>
        <v>1582.03125</v>
      </c>
      <c r="H57" s="21">
        <f t="shared" si="33"/>
        <v>880</v>
      </c>
      <c r="I57" s="21">
        <f t="shared" si="34"/>
        <v>2462.03125</v>
      </c>
      <c r="J57" s="21">
        <f t="shared" si="35"/>
        <v>22462.03125</v>
      </c>
      <c r="K57" s="21">
        <f t="shared" ref="K57:K86" si="37">J57-J56</f>
        <v>2462.03125</v>
      </c>
      <c r="L57" s="21">
        <f t="shared" ref="L57:L86" si="38">I57/B57</f>
        <v>2462.03125</v>
      </c>
      <c r="M57" s="21">
        <f t="shared" si="36"/>
        <v>-19762.03125</v>
      </c>
      <c r="N57" s="8" t="str">
        <f t="shared" ref="N57:N85" si="39">IF(F57&gt;temp_max,"INFEASIBLE",IF(AND(price_mesclun&gt;K57,price_mesclun&lt;K58),"&lt;-- P ~ MC",""))</f>
        <v/>
      </c>
      <c r="O57" s="26">
        <f t="shared" ref="O57:O86" si="40">(B57+B56)/2</f>
        <v>0.5</v>
      </c>
      <c r="P57" s="21">
        <f t="shared" ref="P57:P86" si="41">price_mesclun</f>
        <v>2700</v>
      </c>
    </row>
    <row r="58" spans="2:16" x14ac:dyDescent="0.35">
      <c r="B58" s="20">
        <v>2</v>
      </c>
      <c r="C58" s="11">
        <f t="shared" si="28"/>
        <v>92.264062499999994</v>
      </c>
      <c r="D58" s="11">
        <f t="shared" si="29"/>
        <v>92.264062499999994</v>
      </c>
      <c r="E58" s="11">
        <f t="shared" si="30"/>
        <v>0</v>
      </c>
      <c r="F58" s="18">
        <f t="shared" si="31"/>
        <v>0</v>
      </c>
      <c r="G58" s="21">
        <f t="shared" si="32"/>
        <v>3203.6132812499995</v>
      </c>
      <c r="H58" s="21">
        <f t="shared" si="33"/>
        <v>1760</v>
      </c>
      <c r="I58" s="21">
        <f t="shared" si="34"/>
        <v>4963.61328125</v>
      </c>
      <c r="J58" s="21">
        <f t="shared" si="35"/>
        <v>24963.61328125</v>
      </c>
      <c r="K58" s="21">
        <f t="shared" si="37"/>
        <v>2501.58203125</v>
      </c>
      <c r="L58" s="21">
        <f t="shared" si="38"/>
        <v>2481.806640625</v>
      </c>
      <c r="M58" s="21">
        <f t="shared" si="36"/>
        <v>-19563.61328125</v>
      </c>
      <c r="N58" s="8" t="str">
        <f t="shared" si="39"/>
        <v/>
      </c>
      <c r="O58" s="26">
        <f t="shared" si="40"/>
        <v>1.5</v>
      </c>
      <c r="P58" s="21">
        <f t="shared" si="41"/>
        <v>2700</v>
      </c>
    </row>
    <row r="59" spans="2:16" x14ac:dyDescent="0.35">
      <c r="B59" s="20">
        <v>3</v>
      </c>
      <c r="C59" s="11">
        <f t="shared" si="28"/>
        <v>140.12604492187498</v>
      </c>
      <c r="D59" s="11">
        <f t="shared" si="29"/>
        <v>140.12604492187498</v>
      </c>
      <c r="E59" s="11">
        <f t="shared" si="30"/>
        <v>0</v>
      </c>
      <c r="F59" s="18">
        <f t="shared" si="31"/>
        <v>0</v>
      </c>
      <c r="G59" s="21">
        <f t="shared" si="32"/>
        <v>4865.4876708984366</v>
      </c>
      <c r="H59" s="21">
        <f t="shared" si="33"/>
        <v>2640</v>
      </c>
      <c r="I59" s="21">
        <f t="shared" si="34"/>
        <v>7505.4876708984366</v>
      </c>
      <c r="J59" s="21">
        <f t="shared" si="35"/>
        <v>27505.487670898438</v>
      </c>
      <c r="K59" s="21">
        <f t="shared" si="37"/>
        <v>2541.8743896484375</v>
      </c>
      <c r="L59" s="21">
        <f t="shared" si="38"/>
        <v>2501.829223632812</v>
      </c>
      <c r="M59" s="21">
        <f t="shared" si="36"/>
        <v>-19405.487670898438</v>
      </c>
      <c r="N59" s="8" t="str">
        <f t="shared" si="39"/>
        <v/>
      </c>
      <c r="O59" s="26">
        <f t="shared" si="40"/>
        <v>2.5</v>
      </c>
      <c r="P59" s="21">
        <f t="shared" si="41"/>
        <v>2700</v>
      </c>
    </row>
    <row r="60" spans="2:16" x14ac:dyDescent="0.35">
      <c r="B60" s="20">
        <v>4</v>
      </c>
      <c r="C60" s="11">
        <f t="shared" si="28"/>
        <v>189.17016064453125</v>
      </c>
      <c r="D60" s="11">
        <f t="shared" si="29"/>
        <v>189.17016064453125</v>
      </c>
      <c r="E60" s="11">
        <f t="shared" si="30"/>
        <v>0</v>
      </c>
      <c r="F60" s="18">
        <f t="shared" si="31"/>
        <v>0</v>
      </c>
      <c r="G60" s="21">
        <f t="shared" si="32"/>
        <v>6568.4083557128906</v>
      </c>
      <c r="H60" s="21">
        <f t="shared" si="33"/>
        <v>3520</v>
      </c>
      <c r="I60" s="21">
        <f t="shared" si="34"/>
        <v>10088.408355712891</v>
      </c>
      <c r="J60" s="21">
        <f t="shared" si="35"/>
        <v>30088.408355712891</v>
      </c>
      <c r="K60" s="21">
        <f t="shared" si="37"/>
        <v>2582.9206848144531</v>
      </c>
      <c r="L60" s="21">
        <f t="shared" si="38"/>
        <v>2522.1020889282227</v>
      </c>
      <c r="M60" s="21">
        <f t="shared" si="36"/>
        <v>-19288.408355712891</v>
      </c>
      <c r="N60" s="8" t="str">
        <f t="shared" si="39"/>
        <v/>
      </c>
      <c r="O60" s="26">
        <f t="shared" si="40"/>
        <v>3.5</v>
      </c>
      <c r="P60" s="21">
        <f t="shared" si="41"/>
        <v>2700</v>
      </c>
    </row>
    <row r="61" spans="2:16" x14ac:dyDescent="0.35">
      <c r="B61" s="20">
        <v>5</v>
      </c>
      <c r="C61" s="11">
        <f t="shared" si="28"/>
        <v>239.41848456573481</v>
      </c>
      <c r="D61" s="11">
        <f t="shared" si="29"/>
        <v>239.41848456573481</v>
      </c>
      <c r="E61" s="11">
        <f t="shared" si="30"/>
        <v>0</v>
      </c>
      <c r="F61" s="18">
        <f t="shared" si="31"/>
        <v>0</v>
      </c>
      <c r="G61" s="21">
        <f t="shared" si="32"/>
        <v>8313.1418251991254</v>
      </c>
      <c r="H61" s="21">
        <f t="shared" si="33"/>
        <v>4400</v>
      </c>
      <c r="I61" s="21">
        <f t="shared" si="34"/>
        <v>12713.141825199125</v>
      </c>
      <c r="J61" s="21">
        <f t="shared" si="35"/>
        <v>32713.141825199127</v>
      </c>
      <c r="K61" s="21">
        <f t="shared" si="37"/>
        <v>2624.7334694862366</v>
      </c>
      <c r="L61" s="21">
        <f t="shared" si="38"/>
        <v>2542.628365039825</v>
      </c>
      <c r="M61" s="21">
        <f t="shared" si="36"/>
        <v>-19213.141825199127</v>
      </c>
      <c r="N61" s="8" t="str">
        <f t="shared" si="39"/>
        <v/>
      </c>
      <c r="O61" s="26">
        <f t="shared" si="40"/>
        <v>4.5</v>
      </c>
      <c r="P61" s="21">
        <f t="shared" si="41"/>
        <v>2700</v>
      </c>
    </row>
    <row r="62" spans="2:16" x14ac:dyDescent="0.35">
      <c r="B62" s="20">
        <v>6</v>
      </c>
      <c r="C62" s="11">
        <f t="shared" si="28"/>
        <v>290.89345874736784</v>
      </c>
      <c r="D62" s="11">
        <f t="shared" si="29"/>
        <v>290.89345874736784</v>
      </c>
      <c r="E62" s="11">
        <f t="shared" si="30"/>
        <v>0</v>
      </c>
      <c r="F62" s="18">
        <f t="shared" si="31"/>
        <v>0</v>
      </c>
      <c r="G62" s="21">
        <f t="shared" si="32"/>
        <v>10100.467317616938</v>
      </c>
      <c r="H62" s="21">
        <f t="shared" si="33"/>
        <v>5280</v>
      </c>
      <c r="I62" s="21">
        <f t="shared" si="34"/>
        <v>15380.467317616938</v>
      </c>
      <c r="J62" s="21">
        <f t="shared" si="35"/>
        <v>35380.467317616938</v>
      </c>
      <c r="K62" s="21">
        <f t="shared" si="37"/>
        <v>2667.3254924178109</v>
      </c>
      <c r="L62" s="21">
        <f t="shared" si="38"/>
        <v>2563.4112196028232</v>
      </c>
      <c r="M62" s="21">
        <f t="shared" si="36"/>
        <v>-19180.467317616938</v>
      </c>
      <c r="N62" s="8" t="str">
        <f t="shared" si="39"/>
        <v>&lt;-- P ~ MC</v>
      </c>
      <c r="O62" s="26">
        <f t="shared" si="40"/>
        <v>5.5</v>
      </c>
      <c r="P62" s="21">
        <f t="shared" si="41"/>
        <v>2700</v>
      </c>
    </row>
    <row r="63" spans="2:16" x14ac:dyDescent="0.35">
      <c r="B63" s="20">
        <v>7</v>
      </c>
      <c r="C63" s="11">
        <f t="shared" si="28"/>
        <v>343.61789814532818</v>
      </c>
      <c r="D63" s="11">
        <f t="shared" si="29"/>
        <v>343.61789814532818</v>
      </c>
      <c r="E63" s="11">
        <f t="shared" si="30"/>
        <v>0</v>
      </c>
      <c r="F63" s="18">
        <f t="shared" si="31"/>
        <v>0</v>
      </c>
      <c r="G63" s="21">
        <f t="shared" si="32"/>
        <v>11931.177018935006</v>
      </c>
      <c r="H63" s="21">
        <f t="shared" si="33"/>
        <v>6160</v>
      </c>
      <c r="I63" s="21">
        <f t="shared" si="34"/>
        <v>18091.177018935006</v>
      </c>
      <c r="J63" s="21">
        <f t="shared" si="35"/>
        <v>38091.177018935006</v>
      </c>
      <c r="K63" s="21">
        <f t="shared" si="37"/>
        <v>2710.7097013180683</v>
      </c>
      <c r="L63" s="21">
        <f t="shared" si="38"/>
        <v>2584.453859847858</v>
      </c>
      <c r="M63" s="21">
        <f t="shared" si="36"/>
        <v>-19191.177018935006</v>
      </c>
      <c r="N63" s="8" t="str">
        <f t="shared" si="39"/>
        <v/>
      </c>
      <c r="O63" s="26">
        <f t="shared" si="40"/>
        <v>6.5</v>
      </c>
      <c r="P63" s="21">
        <f t="shared" si="41"/>
        <v>2700</v>
      </c>
    </row>
    <row r="64" spans="2:16" x14ac:dyDescent="0.35">
      <c r="B64" s="20">
        <v>8</v>
      </c>
      <c r="C64" s="11">
        <f t="shared" si="28"/>
        <v>397.61499642530839</v>
      </c>
      <c r="D64" s="11">
        <f t="shared" si="29"/>
        <v>397.61499642530839</v>
      </c>
      <c r="E64" s="11">
        <f t="shared" si="30"/>
        <v>0</v>
      </c>
      <c r="F64" s="18">
        <f t="shared" si="31"/>
        <v>0</v>
      </c>
      <c r="G64" s="21">
        <f t="shared" si="32"/>
        <v>13806.076264767653</v>
      </c>
      <c r="H64" s="21">
        <f t="shared" si="33"/>
        <v>7040</v>
      </c>
      <c r="I64" s="21">
        <f t="shared" si="34"/>
        <v>20846.076264767653</v>
      </c>
      <c r="J64" s="21">
        <f t="shared" si="35"/>
        <v>40846.076264767653</v>
      </c>
      <c r="K64" s="21">
        <f t="shared" si="37"/>
        <v>2754.8992458326466</v>
      </c>
      <c r="L64" s="21">
        <f t="shared" si="38"/>
        <v>2605.7595330959566</v>
      </c>
      <c r="M64" s="21">
        <f t="shared" si="36"/>
        <v>-19246.076264767653</v>
      </c>
      <c r="N64" s="8" t="str">
        <f t="shared" si="39"/>
        <v/>
      </c>
      <c r="O64" s="26">
        <f t="shared" si="40"/>
        <v>7.5</v>
      </c>
      <c r="P64" s="21">
        <f t="shared" si="41"/>
        <v>2700</v>
      </c>
    </row>
    <row r="65" spans="2:16" x14ac:dyDescent="0.35">
      <c r="B65" s="20">
        <v>9</v>
      </c>
      <c r="C65" s="11">
        <f t="shared" si="28"/>
        <v>452.90833186570285</v>
      </c>
      <c r="D65" s="11">
        <f t="shared" si="29"/>
        <v>452.90833186570285</v>
      </c>
      <c r="E65" s="11">
        <f t="shared" si="30"/>
        <v>0</v>
      </c>
      <c r="F65" s="18">
        <f t="shared" si="31"/>
        <v>0</v>
      </c>
      <c r="G65" s="21">
        <f t="shared" si="32"/>
        <v>15725.983745336904</v>
      </c>
      <c r="H65" s="21">
        <f t="shared" si="33"/>
        <v>7920</v>
      </c>
      <c r="I65" s="21">
        <f t="shared" si="34"/>
        <v>23645.983745336904</v>
      </c>
      <c r="J65" s="21">
        <f t="shared" si="35"/>
        <v>43645.983745336904</v>
      </c>
      <c r="K65" s="21">
        <f t="shared" si="37"/>
        <v>2799.9074805692508</v>
      </c>
      <c r="L65" s="21">
        <f t="shared" si="38"/>
        <v>2627.331527259656</v>
      </c>
      <c r="M65" s="21">
        <f t="shared" si="36"/>
        <v>-19345.983745336904</v>
      </c>
      <c r="N65" s="8" t="str">
        <f t="shared" si="39"/>
        <v/>
      </c>
      <c r="O65" s="26">
        <f t="shared" si="40"/>
        <v>8.5</v>
      </c>
      <c r="P65" s="21">
        <f t="shared" si="41"/>
        <v>2700</v>
      </c>
    </row>
    <row r="66" spans="2:16" x14ac:dyDescent="0.35">
      <c r="B66" s="20">
        <v>10</v>
      </c>
      <c r="C66" s="11">
        <f t="shared" si="28"/>
        <v>509.52187334891573</v>
      </c>
      <c r="D66" s="11">
        <f t="shared" si="29"/>
        <v>509.52187334891573</v>
      </c>
      <c r="E66" s="11">
        <f t="shared" si="30"/>
        <v>0</v>
      </c>
      <c r="F66" s="18">
        <f t="shared" si="31"/>
        <v>0</v>
      </c>
      <c r="G66" s="21">
        <f t="shared" si="32"/>
        <v>17691.731713504018</v>
      </c>
      <c r="H66" s="21">
        <f t="shared" si="33"/>
        <v>8800</v>
      </c>
      <c r="I66" s="21">
        <f t="shared" si="34"/>
        <v>26491.731713504018</v>
      </c>
      <c r="J66" s="21">
        <f t="shared" si="35"/>
        <v>46491.731713504021</v>
      </c>
      <c r="K66" s="21">
        <f t="shared" si="37"/>
        <v>2845.7479681671175</v>
      </c>
      <c r="L66" s="21">
        <f t="shared" si="38"/>
        <v>2649.1731713504018</v>
      </c>
      <c r="M66" s="21">
        <f t="shared" si="36"/>
        <v>-19491.731713504021</v>
      </c>
      <c r="N66" s="8" t="str">
        <f t="shared" si="39"/>
        <v/>
      </c>
      <c r="O66" s="26">
        <f t="shared" si="40"/>
        <v>9.5</v>
      </c>
      <c r="P66" s="21">
        <f t="shared" si="41"/>
        <v>2700</v>
      </c>
    </row>
    <row r="67" spans="2:16" x14ac:dyDescent="0.35">
      <c r="B67" s="20">
        <v>11</v>
      </c>
      <c r="C67" s="11">
        <f t="shared" si="28"/>
        <v>567.47998644235474</v>
      </c>
      <c r="D67" s="11">
        <f t="shared" si="29"/>
        <v>567.47998644235474</v>
      </c>
      <c r="E67" s="11">
        <f t="shared" si="30"/>
        <v>0</v>
      </c>
      <c r="F67" s="18">
        <f t="shared" si="31"/>
        <v>0</v>
      </c>
      <c r="G67" s="21">
        <f t="shared" si="32"/>
        <v>19704.166195915095</v>
      </c>
      <c r="H67" s="21">
        <f t="shared" si="33"/>
        <v>9680</v>
      </c>
      <c r="I67" s="21">
        <f t="shared" si="34"/>
        <v>29384.166195915095</v>
      </c>
      <c r="J67" s="21">
        <f t="shared" si="35"/>
        <v>49384.166195915095</v>
      </c>
      <c r="K67" s="21">
        <f t="shared" si="37"/>
        <v>2892.434482411074</v>
      </c>
      <c r="L67" s="21">
        <f t="shared" si="38"/>
        <v>2671.2878359922815</v>
      </c>
      <c r="M67" s="21">
        <f t="shared" si="36"/>
        <v>-19684.166195915095</v>
      </c>
      <c r="N67" s="8" t="str">
        <f t="shared" si="39"/>
        <v/>
      </c>
      <c r="O67" s="26">
        <f t="shared" si="40"/>
        <v>10.5</v>
      </c>
      <c r="P67" s="21">
        <f t="shared" si="41"/>
        <v>2700</v>
      </c>
    </row>
    <row r="68" spans="2:16" x14ac:dyDescent="0.35">
      <c r="B68" s="20">
        <v>12</v>
      </c>
      <c r="C68" s="11">
        <f t="shared" si="28"/>
        <v>626.80743957041921</v>
      </c>
      <c r="D68" s="11">
        <f t="shared" si="29"/>
        <v>626.80743957041921</v>
      </c>
      <c r="E68" s="11">
        <f t="shared" si="30"/>
        <v>0</v>
      </c>
      <c r="F68" s="18">
        <f t="shared" si="31"/>
        <v>0</v>
      </c>
      <c r="G68" s="21">
        <f t="shared" si="32"/>
        <v>21764.147207306221</v>
      </c>
      <c r="H68" s="21">
        <f t="shared" si="33"/>
        <v>10560</v>
      </c>
      <c r="I68" s="21">
        <f t="shared" si="34"/>
        <v>32324.147207306221</v>
      </c>
      <c r="J68" s="21">
        <f t="shared" si="35"/>
        <v>52324.147207306218</v>
      </c>
      <c r="K68" s="21">
        <f t="shared" si="37"/>
        <v>2939.9810113911226</v>
      </c>
      <c r="L68" s="21">
        <f t="shared" si="38"/>
        <v>2693.6789339421853</v>
      </c>
      <c r="M68" s="21">
        <f t="shared" si="36"/>
        <v>-19924.147207306218</v>
      </c>
      <c r="N68" s="8" t="str">
        <f t="shared" si="39"/>
        <v/>
      </c>
      <c r="O68" s="26">
        <f t="shared" si="40"/>
        <v>11.5</v>
      </c>
      <c r="P68" s="21">
        <f t="shared" si="41"/>
        <v>2700</v>
      </c>
    </row>
    <row r="69" spans="2:16" x14ac:dyDescent="0.35">
      <c r="B69" s="20">
        <v>13</v>
      </c>
      <c r="C69" s="11">
        <f t="shared" si="28"/>
        <v>687.52941027880343</v>
      </c>
      <c r="D69" s="11">
        <f t="shared" si="29"/>
        <v>687.52941027880343</v>
      </c>
      <c r="E69" s="11">
        <f t="shared" si="30"/>
        <v>0</v>
      </c>
      <c r="F69" s="18">
        <f t="shared" si="31"/>
        <v>0</v>
      </c>
      <c r="G69" s="21">
        <f t="shared" si="32"/>
        <v>23872.548968014009</v>
      </c>
      <c r="H69" s="21">
        <f t="shared" si="33"/>
        <v>11440</v>
      </c>
      <c r="I69" s="21">
        <f t="shared" si="34"/>
        <v>35312.548968014009</v>
      </c>
      <c r="J69" s="21">
        <f t="shared" si="35"/>
        <v>55312.548968014009</v>
      </c>
      <c r="K69" s="21">
        <f t="shared" si="37"/>
        <v>2988.4017607077913</v>
      </c>
      <c r="L69" s="21">
        <f t="shared" si="38"/>
        <v>2716.3499206164624</v>
      </c>
      <c r="M69" s="21">
        <f t="shared" si="36"/>
        <v>-20212.548968014009</v>
      </c>
      <c r="N69" s="8" t="str">
        <f t="shared" si="39"/>
        <v/>
      </c>
      <c r="O69" s="26">
        <f t="shared" si="40"/>
        <v>12.5</v>
      </c>
      <c r="P69" s="21">
        <f t="shared" si="41"/>
        <v>2700</v>
      </c>
    </row>
    <row r="70" spans="2:16" x14ac:dyDescent="0.35">
      <c r="B70" s="20">
        <v>14</v>
      </c>
      <c r="C70" s="11">
        <f t="shared" si="28"/>
        <v>749.67149159246469</v>
      </c>
      <c r="D70" s="11">
        <f t="shared" si="29"/>
        <v>720</v>
      </c>
      <c r="E70" s="11">
        <f t="shared" si="30"/>
        <v>29.67149159246469</v>
      </c>
      <c r="F70" s="18">
        <f t="shared" si="31"/>
        <v>2.0605202494767147E-2</v>
      </c>
      <c r="G70" s="21">
        <f t="shared" si="32"/>
        <v>25515.130062369179</v>
      </c>
      <c r="H70" s="21">
        <f t="shared" si="33"/>
        <v>12320</v>
      </c>
      <c r="I70" s="21">
        <f t="shared" si="34"/>
        <v>37835.130062369179</v>
      </c>
      <c r="J70" s="21">
        <f t="shared" si="35"/>
        <v>57835.130062369179</v>
      </c>
      <c r="K70" s="21">
        <f t="shared" si="37"/>
        <v>2522.5810943551696</v>
      </c>
      <c r="L70" s="21">
        <f t="shared" si="38"/>
        <v>2702.5092901692269</v>
      </c>
      <c r="M70" s="21">
        <f t="shared" si="36"/>
        <v>-20035.130062369179</v>
      </c>
      <c r="N70" s="8" t="str">
        <f t="shared" si="39"/>
        <v/>
      </c>
      <c r="O70" s="26">
        <f t="shared" si="40"/>
        <v>13.5</v>
      </c>
      <c r="P70" s="21">
        <f t="shared" si="41"/>
        <v>2700</v>
      </c>
    </row>
    <row r="71" spans="2:16" x14ac:dyDescent="0.35">
      <c r="B71" s="20">
        <v>15</v>
      </c>
      <c r="C71" s="11">
        <f t="shared" si="28"/>
        <v>813.25969846861108</v>
      </c>
      <c r="D71" s="11">
        <f t="shared" si="29"/>
        <v>720</v>
      </c>
      <c r="E71" s="11">
        <f t="shared" si="30"/>
        <v>93.259698468611077</v>
      </c>
      <c r="F71" s="18">
        <f t="shared" si="31"/>
        <v>6.4763679492091025E-2</v>
      </c>
      <c r="G71" s="21">
        <f t="shared" si="32"/>
        <v>26619.091987302276</v>
      </c>
      <c r="H71" s="21">
        <f t="shared" si="33"/>
        <v>13200</v>
      </c>
      <c r="I71" s="21">
        <f t="shared" si="34"/>
        <v>39819.091987302279</v>
      </c>
      <c r="J71" s="21">
        <f t="shared" si="35"/>
        <v>59819.091987302279</v>
      </c>
      <c r="K71" s="21">
        <f t="shared" si="37"/>
        <v>1983.9619249331008</v>
      </c>
      <c r="L71" s="21">
        <f t="shared" si="38"/>
        <v>2654.6061324868188</v>
      </c>
      <c r="M71" s="21">
        <f t="shared" si="36"/>
        <v>-19319.091987302279</v>
      </c>
      <c r="N71" s="8" t="str">
        <f t="shared" si="39"/>
        <v/>
      </c>
      <c r="O71" s="26">
        <f t="shared" si="40"/>
        <v>14.5</v>
      </c>
      <c r="P71" s="21">
        <f t="shared" si="41"/>
        <v>2700</v>
      </c>
    </row>
    <row r="72" spans="2:16" x14ac:dyDescent="0.35">
      <c r="B72" s="20">
        <v>16</v>
      </c>
      <c r="C72" s="11">
        <f t="shared" si="28"/>
        <v>878.32047434610013</v>
      </c>
      <c r="D72" s="11">
        <f t="shared" si="29"/>
        <v>720</v>
      </c>
      <c r="E72" s="11">
        <f t="shared" si="30"/>
        <v>158.32047434610013</v>
      </c>
      <c r="F72" s="18">
        <f t="shared" si="31"/>
        <v>0.10994477385145843</v>
      </c>
      <c r="G72" s="21">
        <f t="shared" si="32"/>
        <v>27748.619346286461</v>
      </c>
      <c r="H72" s="21">
        <f t="shared" si="33"/>
        <v>14080</v>
      </c>
      <c r="I72" s="21">
        <f t="shared" si="34"/>
        <v>41828.619346286461</v>
      </c>
      <c r="J72" s="21">
        <f t="shared" si="35"/>
        <v>61828.619346286461</v>
      </c>
      <c r="K72" s="21">
        <f t="shared" si="37"/>
        <v>2009.5273589841818</v>
      </c>
      <c r="L72" s="21">
        <f t="shared" si="38"/>
        <v>2614.2887091429038</v>
      </c>
      <c r="M72" s="21">
        <f t="shared" si="36"/>
        <v>-18628.619346286461</v>
      </c>
      <c r="N72" s="8" t="str">
        <f t="shared" si="39"/>
        <v/>
      </c>
      <c r="O72" s="26">
        <f t="shared" si="40"/>
        <v>15.5</v>
      </c>
      <c r="P72" s="21">
        <f t="shared" si="41"/>
        <v>2700</v>
      </c>
    </row>
    <row r="73" spans="2:16" x14ac:dyDescent="0.35">
      <c r="B73" s="20">
        <v>17</v>
      </c>
      <c r="C73" s="11">
        <f t="shared" si="28"/>
        <v>944.88069779264049</v>
      </c>
      <c r="D73" s="11">
        <f t="shared" si="29"/>
        <v>720</v>
      </c>
      <c r="E73" s="11">
        <f t="shared" si="30"/>
        <v>224.88069779264049</v>
      </c>
      <c r="F73" s="18">
        <f t="shared" si="31"/>
        <v>0.15616715124488922</v>
      </c>
      <c r="G73" s="21">
        <f t="shared" si="32"/>
        <v>28904.178781122231</v>
      </c>
      <c r="H73" s="21">
        <f t="shared" si="33"/>
        <v>14960</v>
      </c>
      <c r="I73" s="21">
        <f t="shared" si="34"/>
        <v>43864.178781122231</v>
      </c>
      <c r="J73" s="21">
        <f t="shared" si="35"/>
        <v>63864.178781122231</v>
      </c>
      <c r="K73" s="21">
        <f t="shared" si="37"/>
        <v>2035.5594348357699</v>
      </c>
      <c r="L73" s="21">
        <f t="shared" si="38"/>
        <v>2580.245810654249</v>
      </c>
      <c r="M73" s="21">
        <f t="shared" si="36"/>
        <v>-17964.178781122231</v>
      </c>
      <c r="N73" s="8" t="str">
        <f t="shared" si="39"/>
        <v/>
      </c>
      <c r="O73" s="26">
        <f t="shared" si="40"/>
        <v>16.5</v>
      </c>
      <c r="P73" s="21">
        <f t="shared" si="41"/>
        <v>2700</v>
      </c>
    </row>
    <row r="74" spans="2:16" x14ac:dyDescent="0.35">
      <c r="B74" s="20">
        <v>18</v>
      </c>
      <c r="C74" s="11">
        <f t="shared" si="28"/>
        <v>1012.9676892512279</v>
      </c>
      <c r="D74" s="11">
        <f t="shared" si="29"/>
        <v>720</v>
      </c>
      <c r="E74" s="11">
        <f t="shared" si="30"/>
        <v>292.96768925122785</v>
      </c>
      <c r="F74" s="18">
        <f t="shared" si="31"/>
        <v>0.20344978420224155</v>
      </c>
      <c r="G74" s="21">
        <f t="shared" si="32"/>
        <v>30086.244605056039</v>
      </c>
      <c r="H74" s="21">
        <f t="shared" si="33"/>
        <v>15840</v>
      </c>
      <c r="I74" s="21">
        <f t="shared" si="34"/>
        <v>45926.244605056039</v>
      </c>
      <c r="J74" s="21">
        <f t="shared" si="35"/>
        <v>65926.244605056039</v>
      </c>
      <c r="K74" s="21">
        <f t="shared" si="37"/>
        <v>2062.0658239338081</v>
      </c>
      <c r="L74" s="21">
        <f t="shared" si="38"/>
        <v>2551.4580336142244</v>
      </c>
      <c r="M74" s="21">
        <f t="shared" si="36"/>
        <v>-17326.244605056039</v>
      </c>
      <c r="N74" s="8" t="str">
        <f t="shared" si="39"/>
        <v/>
      </c>
      <c r="O74" s="26">
        <f t="shared" si="40"/>
        <v>17.5</v>
      </c>
      <c r="P74" s="21">
        <f t="shared" si="41"/>
        <v>2700</v>
      </c>
    </row>
    <row r="75" spans="2:16" x14ac:dyDescent="0.35">
      <c r="B75" s="20">
        <v>19</v>
      </c>
      <c r="C75" s="11">
        <f t="shared" si="28"/>
        <v>1082.6092178872495</v>
      </c>
      <c r="D75" s="11">
        <f t="shared" si="29"/>
        <v>720</v>
      </c>
      <c r="E75" s="11">
        <f t="shared" si="30"/>
        <v>362.60921788724954</v>
      </c>
      <c r="F75" s="18">
        <f t="shared" si="31"/>
        <v>0.25181195686614549</v>
      </c>
      <c r="G75" s="21">
        <f t="shared" si="32"/>
        <v>31295.298921653637</v>
      </c>
      <c r="H75" s="21">
        <f t="shared" si="33"/>
        <v>16720</v>
      </c>
      <c r="I75" s="21">
        <f t="shared" si="34"/>
        <v>48015.298921653637</v>
      </c>
      <c r="J75" s="21">
        <f t="shared" si="35"/>
        <v>68015.298921653637</v>
      </c>
      <c r="K75" s="21">
        <f t="shared" si="37"/>
        <v>2089.0543165975978</v>
      </c>
      <c r="L75" s="21">
        <f t="shared" si="38"/>
        <v>2527.1209958765071</v>
      </c>
      <c r="M75" s="21">
        <f t="shared" si="36"/>
        <v>-16715.298921653637</v>
      </c>
      <c r="N75" s="8" t="str">
        <f t="shared" si="39"/>
        <v/>
      </c>
      <c r="O75" s="26">
        <f t="shared" si="40"/>
        <v>18.5</v>
      </c>
      <c r="P75" s="21">
        <f t="shared" si="41"/>
        <v>2700</v>
      </c>
    </row>
    <row r="76" spans="2:16" x14ac:dyDescent="0.35">
      <c r="B76" s="20">
        <v>20</v>
      </c>
      <c r="C76" s="11">
        <f t="shared" si="28"/>
        <v>1153.8335085377266</v>
      </c>
      <c r="D76" s="11">
        <f t="shared" si="29"/>
        <v>720</v>
      </c>
      <c r="E76" s="11">
        <f t="shared" si="30"/>
        <v>433.83350853772663</v>
      </c>
      <c r="F76" s="18">
        <f t="shared" si="31"/>
        <v>0.30127326981786573</v>
      </c>
      <c r="G76" s="21">
        <f t="shared" si="32"/>
        <v>32531.831745446641</v>
      </c>
      <c r="H76" s="21">
        <f t="shared" si="33"/>
        <v>17600</v>
      </c>
      <c r="I76" s="21">
        <f t="shared" si="34"/>
        <v>50131.831745446645</v>
      </c>
      <c r="J76" s="21">
        <f t="shared" si="35"/>
        <v>70131.831745446645</v>
      </c>
      <c r="K76" s="21">
        <f t="shared" si="37"/>
        <v>2116.532823793008</v>
      </c>
      <c r="L76" s="21">
        <f t="shared" si="38"/>
        <v>2506.5915872723322</v>
      </c>
      <c r="M76" s="21">
        <f t="shared" si="36"/>
        <v>-16131.831745446645</v>
      </c>
      <c r="N76" s="8" t="str">
        <f t="shared" si="39"/>
        <v/>
      </c>
      <c r="O76" s="26">
        <f t="shared" si="40"/>
        <v>19.5</v>
      </c>
      <c r="P76" s="21">
        <f t="shared" si="41"/>
        <v>2700</v>
      </c>
    </row>
    <row r="77" spans="2:16" x14ac:dyDescent="0.35">
      <c r="B77" s="20">
        <v>21</v>
      </c>
      <c r="C77" s="11">
        <f t="shared" si="28"/>
        <v>1226.6692487641703</v>
      </c>
      <c r="D77" s="11">
        <f t="shared" si="29"/>
        <v>720</v>
      </c>
      <c r="E77" s="11">
        <f t="shared" si="30"/>
        <v>506.66924876417033</v>
      </c>
      <c r="F77" s="18">
        <f t="shared" si="31"/>
        <v>0.35185364497511828</v>
      </c>
      <c r="G77" s="21">
        <f t="shared" si="32"/>
        <v>33796.341124377956</v>
      </c>
      <c r="H77" s="21">
        <f t="shared" si="33"/>
        <v>18480</v>
      </c>
      <c r="I77" s="21">
        <f t="shared" si="34"/>
        <v>52276.341124377956</v>
      </c>
      <c r="J77" s="21">
        <f t="shared" si="35"/>
        <v>72276.341124377956</v>
      </c>
      <c r="K77" s="21">
        <f t="shared" si="37"/>
        <v>2144.5093789313105</v>
      </c>
      <c r="L77" s="21">
        <f t="shared" si="38"/>
        <v>2489.3495773513314</v>
      </c>
      <c r="M77" s="21">
        <f t="shared" si="36"/>
        <v>-15576.341124377956</v>
      </c>
      <c r="N77" s="8" t="str">
        <f t="shared" si="39"/>
        <v/>
      </c>
      <c r="O77" s="26">
        <f t="shared" si="40"/>
        <v>20.5</v>
      </c>
      <c r="P77" s="21">
        <f t="shared" si="41"/>
        <v>2700</v>
      </c>
    </row>
    <row r="78" spans="2:16" x14ac:dyDescent="0.35">
      <c r="B78" s="20">
        <v>22</v>
      </c>
      <c r="C78" s="11">
        <f t="shared" si="28"/>
        <v>1301.1455960105666</v>
      </c>
      <c r="D78" s="11">
        <f t="shared" si="29"/>
        <v>720</v>
      </c>
      <c r="E78" s="11">
        <f t="shared" si="30"/>
        <v>581.14559601056658</v>
      </c>
      <c r="F78" s="18">
        <f t="shared" si="31"/>
        <v>0.40357333056289346</v>
      </c>
      <c r="G78" s="21">
        <f t="shared" si="32"/>
        <v>35089.333264072338</v>
      </c>
      <c r="H78" s="21">
        <f t="shared" si="33"/>
        <v>19360</v>
      </c>
      <c r="I78" s="21">
        <f t="shared" si="34"/>
        <v>54449.333264072338</v>
      </c>
      <c r="J78" s="21">
        <f t="shared" si="35"/>
        <v>74449.333264072338</v>
      </c>
      <c r="K78" s="21">
        <f t="shared" si="37"/>
        <v>2172.9921396943828</v>
      </c>
      <c r="L78" s="21">
        <f t="shared" si="38"/>
        <v>2474.9696938214697</v>
      </c>
      <c r="M78" s="21">
        <f t="shared" si="36"/>
        <v>-15049.333264072338</v>
      </c>
      <c r="N78" s="8" t="str">
        <f t="shared" si="39"/>
        <v/>
      </c>
      <c r="O78" s="26">
        <f t="shared" si="40"/>
        <v>21.5</v>
      </c>
      <c r="P78" s="21">
        <f t="shared" si="41"/>
        <v>2700</v>
      </c>
    </row>
    <row r="79" spans="2:16" x14ac:dyDescent="0.35">
      <c r="B79" s="20">
        <v>23</v>
      </c>
      <c r="C79" s="11">
        <f t="shared" si="28"/>
        <v>1377.292184868003</v>
      </c>
      <c r="D79" s="11">
        <f t="shared" si="29"/>
        <v>720</v>
      </c>
      <c r="E79" s="11">
        <f t="shared" si="30"/>
        <v>657.29218486800301</v>
      </c>
      <c r="F79" s="18">
        <f t="shared" si="31"/>
        <v>0.45645290615833545</v>
      </c>
      <c r="G79" s="21">
        <f t="shared" si="32"/>
        <v>36411.322653958385</v>
      </c>
      <c r="H79" s="21">
        <f t="shared" si="33"/>
        <v>20240</v>
      </c>
      <c r="I79" s="21">
        <f t="shared" si="34"/>
        <v>56651.322653958385</v>
      </c>
      <c r="J79" s="21">
        <f t="shared" si="35"/>
        <v>76651.322653958385</v>
      </c>
      <c r="K79" s="21">
        <f t="shared" si="37"/>
        <v>2201.9893898860464</v>
      </c>
      <c r="L79" s="21">
        <f t="shared" si="38"/>
        <v>2463.1009849547122</v>
      </c>
      <c r="M79" s="21">
        <f t="shared" si="36"/>
        <v>-14551.322653958385</v>
      </c>
      <c r="N79" s="8" t="str">
        <f t="shared" si="39"/>
        <v/>
      </c>
      <c r="O79" s="26">
        <f t="shared" si="40"/>
        <v>22.5</v>
      </c>
      <c r="P79" s="21">
        <f t="shared" si="41"/>
        <v>2700</v>
      </c>
    </row>
    <row r="80" spans="2:16" x14ac:dyDescent="0.35">
      <c r="B80" s="20">
        <v>24</v>
      </c>
      <c r="C80" s="11">
        <f t="shared" si="28"/>
        <v>1455.1391344474989</v>
      </c>
      <c r="D80" s="11">
        <f t="shared" si="29"/>
        <v>720</v>
      </c>
      <c r="E80" s="11">
        <f t="shared" si="30"/>
        <v>735.13913444749892</v>
      </c>
      <c r="F80" s="18">
        <f t="shared" si="31"/>
        <v>0.51051328781076311</v>
      </c>
      <c r="G80" s="21">
        <f t="shared" si="32"/>
        <v>37762.832195269075</v>
      </c>
      <c r="H80" s="21">
        <f t="shared" si="33"/>
        <v>21120</v>
      </c>
      <c r="I80" s="21">
        <f t="shared" si="34"/>
        <v>58882.832195269075</v>
      </c>
      <c r="J80" s="21">
        <f t="shared" si="35"/>
        <v>78882.832195269075</v>
      </c>
      <c r="K80" s="21">
        <f t="shared" si="37"/>
        <v>2231.5095413106901</v>
      </c>
      <c r="L80" s="21">
        <f t="shared" si="38"/>
        <v>2453.4513414695448</v>
      </c>
      <c r="M80" s="21">
        <f t="shared" si="36"/>
        <v>-14082.832195269075</v>
      </c>
      <c r="N80" s="8" t="str">
        <f t="shared" si="39"/>
        <v/>
      </c>
      <c r="O80" s="26">
        <f t="shared" si="40"/>
        <v>23.5</v>
      </c>
      <c r="P80" s="21">
        <f t="shared" si="41"/>
        <v>2700</v>
      </c>
    </row>
    <row r="81" spans="2:16" x14ac:dyDescent="0.35">
      <c r="B81" s="20">
        <v>25</v>
      </c>
      <c r="C81" s="11">
        <f t="shared" si="28"/>
        <v>1534.7170558625965</v>
      </c>
      <c r="D81" s="11">
        <f t="shared" si="29"/>
        <v>720</v>
      </c>
      <c r="E81" s="11">
        <f t="shared" si="30"/>
        <v>814.71705586259645</v>
      </c>
      <c r="F81" s="18">
        <f t="shared" si="31"/>
        <v>0.56577573323791419</v>
      </c>
      <c r="G81" s="21">
        <f t="shared" si="32"/>
        <v>39144.393330947853</v>
      </c>
      <c r="H81" s="21">
        <f t="shared" si="33"/>
        <v>22000</v>
      </c>
      <c r="I81" s="21">
        <f t="shared" si="34"/>
        <v>61144.393330947853</v>
      </c>
      <c r="J81" s="21">
        <f t="shared" si="35"/>
        <v>81144.393330947845</v>
      </c>
      <c r="K81" s="21">
        <f t="shared" si="37"/>
        <v>2261.5611356787704</v>
      </c>
      <c r="L81" s="21">
        <f t="shared" si="38"/>
        <v>2445.7757332379142</v>
      </c>
      <c r="M81" s="21">
        <f t="shared" si="36"/>
        <v>-13644.393330947845</v>
      </c>
      <c r="N81" s="8" t="str">
        <f t="shared" si="39"/>
        <v/>
      </c>
      <c r="O81" s="26">
        <f t="shared" si="40"/>
        <v>24.5</v>
      </c>
      <c r="P81" s="21">
        <f t="shared" si="41"/>
        <v>2700</v>
      </c>
    </row>
    <row r="82" spans="2:16" x14ac:dyDescent="0.35">
      <c r="B82" s="20">
        <v>26</v>
      </c>
      <c r="C82" s="11">
        <f t="shared" si="28"/>
        <v>1616.0570598233144</v>
      </c>
      <c r="D82" s="11">
        <f t="shared" si="29"/>
        <v>720</v>
      </c>
      <c r="E82" s="11">
        <f t="shared" si="30"/>
        <v>896.05705982331438</v>
      </c>
      <c r="F82" s="18">
        <f t="shared" si="31"/>
        <v>0.62226184709952392</v>
      </c>
      <c r="G82" s="21">
        <f t="shared" si="32"/>
        <v>40556.546177488097</v>
      </c>
      <c r="H82" s="21">
        <f t="shared" si="33"/>
        <v>22880</v>
      </c>
      <c r="I82" s="21">
        <f t="shared" si="34"/>
        <v>63436.546177488097</v>
      </c>
      <c r="J82" s="21">
        <f t="shared" si="35"/>
        <v>83436.546177488097</v>
      </c>
      <c r="K82" s="21">
        <f t="shared" si="37"/>
        <v>2292.1528465402516</v>
      </c>
      <c r="L82" s="21">
        <f t="shared" si="38"/>
        <v>2439.8671606726193</v>
      </c>
      <c r="M82" s="21">
        <f t="shared" si="36"/>
        <v>-13236.546177488097</v>
      </c>
      <c r="N82" s="8" t="str">
        <f t="shared" si="39"/>
        <v/>
      </c>
      <c r="O82" s="26">
        <f t="shared" si="40"/>
        <v>25.5</v>
      </c>
      <c r="P82" s="21">
        <f t="shared" si="41"/>
        <v>2700</v>
      </c>
    </row>
    <row r="83" spans="2:16" x14ac:dyDescent="0.35">
      <c r="B83" s="20">
        <v>27</v>
      </c>
      <c r="C83" s="11">
        <f t="shared" si="28"/>
        <v>1699.1907643430709</v>
      </c>
      <c r="D83" s="11">
        <f t="shared" si="29"/>
        <v>720</v>
      </c>
      <c r="E83" s="11">
        <f t="shared" si="30"/>
        <v>979.1907643430709</v>
      </c>
      <c r="F83" s="18">
        <f t="shared" si="31"/>
        <v>0.67999358634935481</v>
      </c>
      <c r="G83" s="21">
        <f t="shared" si="32"/>
        <v>41999.839658733865</v>
      </c>
      <c r="H83" s="21">
        <f t="shared" si="33"/>
        <v>23760</v>
      </c>
      <c r="I83" s="21">
        <f t="shared" si="34"/>
        <v>65759.839658733865</v>
      </c>
      <c r="J83" s="21">
        <f t="shared" si="35"/>
        <v>85759.839658733865</v>
      </c>
      <c r="K83" s="21">
        <f t="shared" si="37"/>
        <v>2323.2934812457679</v>
      </c>
      <c r="L83" s="21">
        <f t="shared" si="38"/>
        <v>2435.549616990143</v>
      </c>
      <c r="M83" s="21">
        <f t="shared" si="36"/>
        <v>-12859.839658733865</v>
      </c>
      <c r="N83" s="8" t="str">
        <f t="shared" si="39"/>
        <v/>
      </c>
      <c r="O83" s="26">
        <f t="shared" si="40"/>
        <v>26.5</v>
      </c>
      <c r="P83" s="21">
        <f t="shared" si="41"/>
        <v>2700</v>
      </c>
    </row>
    <row r="84" spans="2:16" x14ac:dyDescent="0.35">
      <c r="B84" s="20">
        <v>28</v>
      </c>
      <c r="C84" s="11">
        <f t="shared" si="28"/>
        <v>1784.1503025602246</v>
      </c>
      <c r="D84" s="11">
        <f t="shared" si="29"/>
        <v>720</v>
      </c>
      <c r="E84" s="11">
        <f t="shared" si="30"/>
        <v>1064.1503025602246</v>
      </c>
      <c r="F84" s="18">
        <f t="shared" si="31"/>
        <v>0.73899326566682266</v>
      </c>
      <c r="G84" s="21">
        <f t="shared" si="32"/>
        <v>43474.831641670564</v>
      </c>
      <c r="H84" s="21">
        <f t="shared" si="33"/>
        <v>24640</v>
      </c>
      <c r="I84" s="21">
        <f t="shared" si="34"/>
        <v>68114.831641670564</v>
      </c>
      <c r="J84" s="21">
        <f t="shared" si="35"/>
        <v>88114.831641670564</v>
      </c>
      <c r="K84" s="21">
        <f t="shared" si="37"/>
        <v>2354.9919829366991</v>
      </c>
      <c r="L84" s="21">
        <f t="shared" si="38"/>
        <v>2432.6725586310918</v>
      </c>
      <c r="M84" s="21">
        <f t="shared" si="36"/>
        <v>-12514.831641670564</v>
      </c>
      <c r="N84" s="8" t="str">
        <f t="shared" si="39"/>
        <v/>
      </c>
      <c r="O84" s="26">
        <f t="shared" si="40"/>
        <v>27.5</v>
      </c>
      <c r="P84" s="21">
        <f t="shared" si="41"/>
        <v>2700</v>
      </c>
    </row>
    <row r="85" spans="2:16" x14ac:dyDescent="0.35">
      <c r="B85" s="20">
        <v>29</v>
      </c>
      <c r="C85" s="11">
        <f t="shared" si="28"/>
        <v>1870.9683306758782</v>
      </c>
      <c r="D85" s="11">
        <f t="shared" si="29"/>
        <v>720</v>
      </c>
      <c r="E85" s="11">
        <f t="shared" si="30"/>
        <v>1150.9683306758782</v>
      </c>
      <c r="F85" s="18">
        <f t="shared" si="31"/>
        <v>0.79928356296935987</v>
      </c>
      <c r="G85" s="21">
        <f t="shared" si="32"/>
        <v>44982.089074233998</v>
      </c>
      <c r="H85" s="21">
        <f t="shared" si="33"/>
        <v>25520</v>
      </c>
      <c r="I85" s="21">
        <f t="shared" si="34"/>
        <v>70502.089074233998</v>
      </c>
      <c r="J85" s="21">
        <f t="shared" si="35"/>
        <v>90502.089074233998</v>
      </c>
      <c r="K85" s="21">
        <f t="shared" si="37"/>
        <v>2387.2574325634341</v>
      </c>
      <c r="L85" s="21">
        <f t="shared" si="38"/>
        <v>2431.1065198011725</v>
      </c>
      <c r="M85" s="21">
        <f t="shared" si="36"/>
        <v>-12202.089074233998</v>
      </c>
      <c r="N85" s="8" t="str">
        <f t="shared" si="39"/>
        <v/>
      </c>
      <c r="O85" s="26">
        <f t="shared" si="40"/>
        <v>28.5</v>
      </c>
      <c r="P85" s="21">
        <f t="shared" si="41"/>
        <v>2700</v>
      </c>
    </row>
    <row r="86" spans="2:16" x14ac:dyDescent="0.35">
      <c r="B86" s="20">
        <v>30</v>
      </c>
      <c r="C86" s="11">
        <f t="shared" si="28"/>
        <v>1959.6780360096488</v>
      </c>
      <c r="D86" s="11">
        <f t="shared" si="29"/>
        <v>720</v>
      </c>
      <c r="E86" s="11">
        <f t="shared" si="30"/>
        <v>1239.6780360096488</v>
      </c>
      <c r="F86" s="18">
        <f t="shared" si="31"/>
        <v>0.86088752500670063</v>
      </c>
      <c r="G86" s="21">
        <f t="shared" si="32"/>
        <v>46522.188125167515</v>
      </c>
      <c r="H86" s="21">
        <f t="shared" si="33"/>
        <v>26400</v>
      </c>
      <c r="I86" s="21">
        <f t="shared" si="34"/>
        <v>72922.188125167508</v>
      </c>
      <c r="J86" s="21">
        <f t="shared" si="35"/>
        <v>92922.188125167508</v>
      </c>
      <c r="K86" s="21">
        <f t="shared" si="37"/>
        <v>2420.0990509335097</v>
      </c>
      <c r="L86" s="21">
        <f t="shared" si="38"/>
        <v>2430.7396041722504</v>
      </c>
      <c r="M86" s="21">
        <f t="shared" si="36"/>
        <v>-11922.188125167508</v>
      </c>
      <c r="N86" s="8" t="str">
        <f>IF(F86&gt;temp_max,"INFEASIBLE","")</f>
        <v/>
      </c>
      <c r="O86" s="26">
        <f t="shared" si="40"/>
        <v>29.5</v>
      </c>
      <c r="P86" s="21">
        <f t="shared" si="41"/>
        <v>2700</v>
      </c>
    </row>
  </sheetData>
  <pageMargins left="0.75" right="0.75" top="1" bottom="1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37</vt:i4>
      </vt:variant>
    </vt:vector>
  </HeadingPairs>
  <TitlesOfParts>
    <vt:vector size="40" baseType="lpstr">
      <vt:lpstr>README</vt:lpstr>
      <vt:lpstr>Model</vt:lpstr>
      <vt:lpstr>MC Schedules</vt:lpstr>
      <vt:lpstr>beds_max</vt:lpstr>
      <vt:lpstr>beds_total</vt:lpstr>
      <vt:lpstr>costs_fixed</vt:lpstr>
      <vt:lpstr>costs_total</vt:lpstr>
      <vt:lpstr>dim_carrot</vt:lpstr>
      <vt:lpstr>dim_mesclun</vt:lpstr>
      <vt:lpstr>dim_tomato</vt:lpstr>
      <vt:lpstr>fert_carrot</vt:lpstr>
      <vt:lpstr>fert_mesclun</vt:lpstr>
      <vt:lpstr>fert_tomato</vt:lpstr>
      <vt:lpstr>hrs_total</vt:lpstr>
      <vt:lpstr>labor_cost_total</vt:lpstr>
      <vt:lpstr>labor_hrs_season</vt:lpstr>
      <vt:lpstr>labor_hrs_week</vt:lpstr>
      <vt:lpstr>laborwk_carrot</vt:lpstr>
      <vt:lpstr>laborwk_mesclun</vt:lpstr>
      <vt:lpstr>laborwk_tomato</vt:lpstr>
      <vt:lpstr>max_carrot</vt:lpstr>
      <vt:lpstr>max_mesclun</vt:lpstr>
      <vt:lpstr>max_tomato</vt:lpstr>
      <vt:lpstr>perm_field_hrs</vt:lpstr>
      <vt:lpstr>perm_used</vt:lpstr>
      <vt:lpstr>price_carrot</vt:lpstr>
      <vt:lpstr>price_mesclun</vt:lpstr>
      <vt:lpstr>price_tomato</vt:lpstr>
      <vt:lpstr>profit_total</vt:lpstr>
      <vt:lpstr>q_carrot</vt:lpstr>
      <vt:lpstr>q_mesclun</vt:lpstr>
      <vt:lpstr>q_tomato</vt:lpstr>
      <vt:lpstr>rev_total</vt:lpstr>
      <vt:lpstr>season_wks</vt:lpstr>
      <vt:lpstr>temp_hrs</vt:lpstr>
      <vt:lpstr>temp_hrs_each</vt:lpstr>
      <vt:lpstr>temp_max</vt:lpstr>
      <vt:lpstr>temp_needed</vt:lpstr>
      <vt:lpstr>wage_perm</vt:lpstr>
      <vt:lpstr>wage_temp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Wade Okumura</cp:lastModifiedBy>
  <cp:revision>1</cp:revision>
  <dcterms:created xsi:type="dcterms:W3CDTF">2026-07-07T13:11:41Z</dcterms:created>
  <dcterms:modified xsi:type="dcterms:W3CDTF">2026-08-24T03:15:07Z</dcterms:modified>
  <dc:language>en-US</dc:language>
</cp:coreProperties>
</file>